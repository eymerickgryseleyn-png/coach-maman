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8dbb4d9e693c1ee/Desktop/Nouveau dossier/"/>
    </mc:Choice>
  </mc:AlternateContent>
  <xr:revisionPtr revIDLastSave="1049" documentId="13_ncr:1_{CEC3A4F4-E090-400C-9B5F-3B734A132120}" xr6:coauthVersionLast="47" xr6:coauthVersionMax="47" xr10:uidLastSave="{D2F1B8C9-B217-412D-BA2F-90820A755FC0}"/>
  <bookViews>
    <workbookView xWindow="-108" yWindow="-108" windowWidth="23256" windowHeight="12456" xr2:uid="{00000000-000D-0000-FFFF-FFFF00000000}"/>
  </bookViews>
  <sheets>
    <sheet name="Plannification générale" sheetId="1" r:id="rId1"/>
    <sheet name="Séances par semaine" sheetId="2" r:id="rId2"/>
    <sheet name="Feuil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" i="1" l="1"/>
  <c r="AE9" i="1"/>
  <c r="AF9" i="1"/>
  <c r="AG9" i="1"/>
  <c r="AH9" i="1"/>
  <c r="AI9" i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Q46" i="1"/>
  <c r="BQ48" i="1" s="1"/>
  <c r="AC46" i="1"/>
  <c r="AC47" i="1" s="1"/>
  <c r="AC9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J90" i="2"/>
  <c r="O90" i="2"/>
  <c r="J89" i="2"/>
  <c r="O89" i="2"/>
  <c r="J88" i="2"/>
  <c r="O88" i="2"/>
  <c r="J87" i="2"/>
  <c r="O87" i="2"/>
  <c r="J86" i="2"/>
  <c r="O86" i="2"/>
  <c r="J85" i="2"/>
  <c r="O85" i="2"/>
  <c r="J84" i="2"/>
  <c r="O84" i="2"/>
  <c r="J83" i="2"/>
  <c r="O83" i="2"/>
  <c r="J82" i="2"/>
  <c r="O82" i="2"/>
  <c r="J81" i="2"/>
  <c r="O81" i="2"/>
  <c r="J77" i="2"/>
  <c r="J78" i="2"/>
  <c r="J79" i="2"/>
  <c r="J80" i="2"/>
  <c r="O77" i="2"/>
  <c r="O78" i="2"/>
  <c r="O79" i="2"/>
  <c r="O80" i="2"/>
  <c r="J76" i="2"/>
  <c r="O76" i="2"/>
  <c r="J75" i="2"/>
  <c r="O75" i="2"/>
  <c r="J74" i="2"/>
  <c r="O74" i="2"/>
  <c r="J73" i="2"/>
  <c r="O73" i="2"/>
  <c r="J72" i="2"/>
  <c r="O72" i="2"/>
  <c r="J71" i="2"/>
  <c r="O71" i="2"/>
  <c r="J70" i="2"/>
  <c r="O70" i="2"/>
  <c r="J69" i="2"/>
  <c r="O69" i="2"/>
  <c r="J68" i="2"/>
  <c r="O68" i="2"/>
  <c r="J67" i="2"/>
  <c r="O67" i="2"/>
  <c r="J63" i="2"/>
  <c r="J64" i="2"/>
  <c r="J65" i="2"/>
  <c r="J66" i="2"/>
  <c r="O63" i="2"/>
  <c r="O64" i="2"/>
  <c r="O65" i="2"/>
  <c r="O66" i="2"/>
  <c r="J59" i="2"/>
  <c r="J60" i="2"/>
  <c r="J61" i="2"/>
  <c r="J62" i="2"/>
  <c r="O59" i="2"/>
  <c r="O60" i="2"/>
  <c r="O61" i="2"/>
  <c r="O62" i="2"/>
  <c r="J58" i="2"/>
  <c r="O58" i="2"/>
  <c r="J57" i="2"/>
  <c r="O57" i="2"/>
  <c r="J56" i="2"/>
  <c r="O56" i="2"/>
  <c r="J55" i="2"/>
  <c r="O55" i="2"/>
  <c r="J54" i="2"/>
  <c r="O54" i="2"/>
  <c r="J53" i="2"/>
  <c r="O53" i="2"/>
  <c r="J52" i="2"/>
  <c r="O52" i="2"/>
  <c r="J51" i="2"/>
  <c r="O51" i="2"/>
  <c r="J50" i="2"/>
  <c r="O50" i="2"/>
  <c r="J49" i="2"/>
  <c r="O49" i="2"/>
  <c r="J48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AB47" i="1"/>
  <c r="D47" i="1"/>
  <c r="E47" i="1"/>
  <c r="F47" i="1"/>
  <c r="G47" i="1"/>
  <c r="H47" i="1"/>
  <c r="O47" i="1"/>
  <c r="P47" i="1"/>
  <c r="Q47" i="1"/>
  <c r="R47" i="1"/>
  <c r="S47" i="1"/>
  <c r="T47" i="1"/>
  <c r="U47" i="1"/>
  <c r="V47" i="1"/>
  <c r="W47" i="1"/>
  <c r="X47" i="1"/>
  <c r="D46" i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C47" i="1"/>
  <c r="O9" i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BR46" i="1" l="1"/>
  <c r="BQ47" i="1"/>
  <c r="AD46" i="1"/>
  <c r="K47" i="1"/>
  <c r="Z47" i="1"/>
  <c r="J47" i="1"/>
  <c r="N47" i="1"/>
  <c r="M47" i="1"/>
  <c r="L47" i="1"/>
  <c r="AA47" i="1"/>
  <c r="Y47" i="1"/>
  <c r="I47" i="1"/>
  <c r="BS46" i="1" l="1"/>
  <c r="BR48" i="1"/>
  <c r="BR47" i="1"/>
  <c r="AD47" i="1"/>
  <c r="AD48" i="1"/>
  <c r="AE46" i="1"/>
  <c r="BS48" i="1" l="1"/>
  <c r="BT46" i="1"/>
  <c r="BS47" i="1"/>
  <c r="AE47" i="1"/>
  <c r="AE48" i="1"/>
  <c r="AF46" i="1"/>
  <c r="BT48" i="1" l="1"/>
  <c r="BT47" i="1"/>
  <c r="AF47" i="1"/>
  <c r="AF48" i="1"/>
  <c r="AG46" i="1"/>
  <c r="AG47" i="1" l="1"/>
  <c r="AG48" i="1"/>
  <c r="AH46" i="1"/>
  <c r="AH48" i="1" l="1"/>
  <c r="AH47" i="1"/>
  <c r="AI46" i="1"/>
  <c r="AI48" i="1" l="1"/>
  <c r="AI47" i="1"/>
  <c r="AJ46" i="1"/>
  <c r="AK46" i="1" l="1"/>
  <c r="AJ47" i="1"/>
  <c r="AJ48" i="1"/>
  <c r="AL46" i="1" l="1"/>
  <c r="AK47" i="1"/>
  <c r="AK48" i="1"/>
  <c r="AM46" i="1" l="1"/>
  <c r="AL47" i="1"/>
  <c r="AL48" i="1"/>
  <c r="AN46" i="1" l="1"/>
  <c r="AM48" i="1"/>
  <c r="AM47" i="1"/>
  <c r="AO46" i="1" l="1"/>
  <c r="AN47" i="1"/>
  <c r="AN48" i="1"/>
  <c r="AP46" i="1" l="1"/>
  <c r="AO47" i="1"/>
  <c r="AO48" i="1"/>
  <c r="AQ46" i="1" l="1"/>
  <c r="AP47" i="1"/>
  <c r="AP48" i="1"/>
  <c r="AQ48" i="1" l="1"/>
  <c r="AR46" i="1"/>
  <c r="AQ47" i="1"/>
  <c r="AS46" i="1" l="1"/>
  <c r="AR47" i="1"/>
  <c r="AR48" i="1"/>
  <c r="AS47" i="1" l="1"/>
  <c r="AS48" i="1"/>
  <c r="AT46" i="1"/>
  <c r="AT47" i="1" l="1"/>
  <c r="AT48" i="1"/>
  <c r="AU46" i="1"/>
  <c r="AU47" i="1" l="1"/>
  <c r="AU48" i="1"/>
  <c r="AV46" i="1"/>
  <c r="AV47" i="1" l="1"/>
  <c r="AV48" i="1"/>
  <c r="AW46" i="1"/>
  <c r="AW47" i="1" l="1"/>
  <c r="AW48" i="1"/>
  <c r="AX46" i="1"/>
  <c r="AX48" i="1" l="1"/>
  <c r="AX47" i="1"/>
  <c r="AY46" i="1"/>
  <c r="AY48" i="1" l="1"/>
  <c r="AY47" i="1"/>
  <c r="AZ46" i="1"/>
  <c r="BA46" i="1" l="1"/>
  <c r="AZ47" i="1"/>
  <c r="AZ48" i="1"/>
  <c r="BB46" i="1" l="1"/>
  <c r="BA47" i="1"/>
  <c r="BA48" i="1"/>
  <c r="BC46" i="1" l="1"/>
  <c r="BB47" i="1"/>
  <c r="BB48" i="1"/>
  <c r="BC48" i="1" l="1"/>
  <c r="BD46" i="1"/>
  <c r="BC47" i="1"/>
  <c r="BE46" i="1" l="1"/>
  <c r="BD47" i="1"/>
  <c r="BD48" i="1"/>
  <c r="BF46" i="1" l="1"/>
  <c r="BE47" i="1"/>
  <c r="BE48" i="1"/>
  <c r="BG46" i="1" l="1"/>
  <c r="BF47" i="1"/>
  <c r="BF48" i="1"/>
  <c r="BG48" i="1" l="1"/>
  <c r="BH46" i="1"/>
  <c r="BG47" i="1"/>
  <c r="BI46" i="1" l="1"/>
  <c r="BH47" i="1"/>
  <c r="BH48" i="1"/>
  <c r="BI47" i="1" l="1"/>
  <c r="BI48" i="1"/>
  <c r="BJ46" i="1"/>
  <c r="BJ47" i="1" l="1"/>
  <c r="BJ48" i="1"/>
  <c r="BK46" i="1"/>
  <c r="BK47" i="1" l="1"/>
  <c r="BK48" i="1"/>
  <c r="BL46" i="1"/>
  <c r="BL47" i="1" l="1"/>
  <c r="BL48" i="1"/>
  <c r="BM46" i="1"/>
  <c r="BM48" i="1" l="1"/>
  <c r="BM47" i="1"/>
  <c r="BN46" i="1"/>
  <c r="BN48" i="1" l="1"/>
  <c r="BN47" i="1"/>
  <c r="BO46" i="1"/>
  <c r="BO48" i="1" l="1"/>
  <c r="BO47" i="1"/>
  <c r="BP46" i="1"/>
  <c r="BP47" i="1" l="1"/>
  <c r="BP48" i="1"/>
</calcChain>
</file>

<file path=xl/sharedStrings.xml><?xml version="1.0" encoding="utf-8"?>
<sst xmlns="http://schemas.openxmlformats.org/spreadsheetml/2006/main" count="668" uniqueCount="191">
  <si>
    <t>Décembre</t>
  </si>
  <si>
    <t>Janvier</t>
  </si>
  <si>
    <t>Février</t>
  </si>
  <si>
    <t>Mars</t>
  </si>
  <si>
    <t>Avril</t>
  </si>
  <si>
    <t>Mai</t>
  </si>
  <si>
    <t>Semaine</t>
  </si>
  <si>
    <t>Macrocycle</t>
  </si>
  <si>
    <t>Période de préparation</t>
  </si>
  <si>
    <t>Mesocycle</t>
  </si>
  <si>
    <t>Préparation spécifique</t>
  </si>
  <si>
    <t>Développement charge progressive</t>
  </si>
  <si>
    <t>Développement charge dégressive</t>
  </si>
  <si>
    <t>Maintien</t>
  </si>
  <si>
    <t>Affutage</t>
  </si>
  <si>
    <t>compétition</t>
  </si>
  <si>
    <t>Microcycle</t>
  </si>
  <si>
    <t>Graduel</t>
  </si>
  <si>
    <t>Compétition</t>
  </si>
  <si>
    <t>Approche</t>
  </si>
  <si>
    <t>Développement</t>
  </si>
  <si>
    <t>Choc</t>
  </si>
  <si>
    <t>Récupération</t>
  </si>
  <si>
    <t>Premier jour du cycle</t>
  </si>
  <si>
    <t>Lundi</t>
  </si>
  <si>
    <t>Qualités physiques</t>
  </si>
  <si>
    <t>Période Affutage et compétition</t>
  </si>
  <si>
    <t>Capacité aérobie</t>
  </si>
  <si>
    <t>Puissance aérobie</t>
  </si>
  <si>
    <t>Endurance spécifique AS50</t>
  </si>
  <si>
    <t>Consolidation spécifique</t>
  </si>
  <si>
    <t>Aérobie spécifique courte</t>
  </si>
  <si>
    <t>Musculation</t>
  </si>
  <si>
    <t>Mobilité</t>
  </si>
  <si>
    <t>Tout le temps</t>
  </si>
  <si>
    <t>Endurance force</t>
  </si>
  <si>
    <t>Puissance force</t>
  </si>
  <si>
    <t>Force max</t>
  </si>
  <si>
    <t>Plannification</t>
  </si>
  <si>
    <t>Vitesse</t>
  </si>
  <si>
    <t>Mardi</t>
  </si>
  <si>
    <t>Mercredi</t>
  </si>
  <si>
    <t>Jeudi</t>
  </si>
  <si>
    <t>Vendredi</t>
  </si>
  <si>
    <t>Samedi</t>
  </si>
  <si>
    <t>Dimanche</t>
  </si>
  <si>
    <t>Matin</t>
  </si>
  <si>
    <t>AP</t>
  </si>
  <si>
    <t>Soir</t>
  </si>
  <si>
    <t>Travail</t>
  </si>
  <si>
    <t>01/01 Travail</t>
  </si>
  <si>
    <t>01/02 Travail</t>
  </si>
  <si>
    <t>Compétition ?</t>
  </si>
  <si>
    <t>travail</t>
  </si>
  <si>
    <t>01/05 Travail</t>
  </si>
  <si>
    <t>Isométrie</t>
  </si>
  <si>
    <t>26/04 Travail</t>
  </si>
  <si>
    <t>50 km marche</t>
  </si>
  <si>
    <t>Jujitsu</t>
  </si>
  <si>
    <t>Stage Jujitsu</t>
  </si>
  <si>
    <t>Séance</t>
  </si>
  <si>
    <t>Renfo</t>
  </si>
  <si>
    <t>séance</t>
  </si>
  <si>
    <t>Date</t>
  </si>
  <si>
    <t>RPE</t>
  </si>
  <si>
    <t>Charge de travail</t>
  </si>
  <si>
    <t>Jour 1</t>
  </si>
  <si>
    <t>Jour 2</t>
  </si>
  <si>
    <t>Jour</t>
  </si>
  <si>
    <t xml:space="preserve">Filière / Qualité </t>
  </si>
  <si>
    <t>Objectif physiologique</t>
  </si>
  <si>
    <t>Séance détaillée</t>
  </si>
  <si>
    <t>Durée totale</t>
  </si>
  <si>
    <t>Jour 3</t>
  </si>
  <si>
    <t>Filière énergétique / Qualité</t>
  </si>
  <si>
    <t>Endurance spécifique</t>
  </si>
  <si>
    <t>Améliorer la capacité aérobie</t>
  </si>
  <si>
    <t>Type de séance</t>
  </si>
  <si>
    <t>Marche</t>
  </si>
  <si>
    <t>15 ' Echauffement
35' marche continue
10' retour au calme
RPE cible  3 - 4</t>
  </si>
  <si>
    <t>Renforcer les membres inférieurs</t>
  </si>
  <si>
    <t>Jour 4</t>
  </si>
  <si>
    <t>15' Echauffement 
35' marche continue
6 x 100 cadence rapide
5' retour au calme
RPE cible 3-4</t>
  </si>
  <si>
    <t>15' echauffement 
40 min marche continue
5' retour au calme
Rpe cible 3</t>
  </si>
  <si>
    <t>15' echauffement 
35' marche continue
6 x 150 m candence rapide
5' retour au calme
Rpe Cible 3-4</t>
  </si>
  <si>
    <t>Travail endurance</t>
  </si>
  <si>
    <t>Travail cadance et technique</t>
  </si>
  <si>
    <t>15 ' echauffement
45' marche continue
RPE cible 3</t>
  </si>
  <si>
    <t>Amélioration de la capacité aérobie</t>
  </si>
  <si>
    <t>Sortie longue
15' echauffement
75' marche continue
RPE cicble 3</t>
  </si>
  <si>
    <t>15' echauffement
30 min marche continue
8 x 100 m candance rapide
5' retour au calme
Rpe Cible 3 - 4</t>
  </si>
  <si>
    <t>12 ' mobilité
6 x 30-30 chaise
3 x 12 Squat tempo lent
3 x 10 fentes bulgares tempo lent
3 x 10 pont fessier tempo lent
Gainage 6 - 7 '</t>
  </si>
  <si>
    <t>12' mobilité
7 x 30 - 30 chaise
3 x 12 élévations mollet (3233)
3 x 12 SDT KB tempo lent
3 x 12 pont fessier avec élastique
Gainage 7 -8'</t>
  </si>
  <si>
    <t>12' mobilité
8 x 30 - 30 chaise
5 x 30 - 30 iso mollet
4 x 12 Squat
4 x12 pont fessier</t>
  </si>
  <si>
    <t>12' mobilité
9 x 30 - 30 chaise
6 x 30 - 30 iso mollet
3 x 12 fentes bulgares
4 x12 pont fessier</t>
  </si>
  <si>
    <t>65' marche continue rpe 3</t>
  </si>
  <si>
    <t>Distance totale (km)</t>
  </si>
  <si>
    <t>Vitesse moyenne (km/h)</t>
  </si>
  <si>
    <t>FC moyenne</t>
  </si>
  <si>
    <t>FC MAX</t>
  </si>
  <si>
    <t>temps moyen / km</t>
  </si>
  <si>
    <t>10' échauffement
30' marche continue
10 x 100 m R =1'
5 min retour au calme (RPE 3 - 4)</t>
  </si>
  <si>
    <t>Sortie longue 90' RPE 3 - 4)</t>
  </si>
  <si>
    <t>10 ' mobilité
5 ' corde à sauter
6 x 30 - 30 chaise + 5kg
6 x 30 -30 iso mollet + 5 kg
4 x 12 SDT KB (monter légérement la charge tempo lent)
3 x 10 DB Squat press
3 x 10 fentes arrières
Gainage</t>
  </si>
  <si>
    <t>65 ' marche continue RPE 3 - 4</t>
  </si>
  <si>
    <t>60 '
10 min très facile
45 régulier sur l'allure moyenne
5' de retour au calme</t>
  </si>
  <si>
    <t xml:space="preserve">60':
35' allure normale
8 x 1 - 1 cadence rapide
15 ' normal </t>
  </si>
  <si>
    <t xml:space="preserve">Gowod 30 ' (mobilité - assouplissement tout le corps)
6 x 35 - 25 chaise + 5 kg
Iso mollet 6 x 35 - 25 + 5 kg
4 x 6 jefferson curl </t>
  </si>
  <si>
    <t>Sortie 60' RPE 3</t>
  </si>
  <si>
    <t>Mobilité 10 '
5 ' corde à sauter
6 x 35 - 25 chaise + 5 KG
6 x 35 - 25 iso mollet + 5 kg
4 x 12 squat tempo lent
4 x 15 KB Swing
4 x 12 élévation mollet tempo lent
Gainage</t>
  </si>
  <si>
    <t>Mobilité 10'
5' corde à sautrer
7 x 35 - 25 chaise + 5Kg
7 x 35 - 25 Iso mollet  + 5 KG
3 x 10 fentes bulgares tempo lent
4 x 12 SDT KB
4 x 15 KB Swing
Gainage</t>
  </si>
  <si>
    <t>60':
30 normal
6 x (2' candance rapide - 1' normal)
Rpe 4 sur le bloc
15 ' normal</t>
  </si>
  <si>
    <t>Sortie longue 90'
Essayer de stabiliser la vitesse</t>
  </si>
  <si>
    <t>9.01</t>
  </si>
  <si>
    <t>6.6</t>
  </si>
  <si>
    <t>9.23</t>
  </si>
  <si>
    <t>9.46</t>
  </si>
  <si>
    <t>6.1</t>
  </si>
  <si>
    <t>sortie tapis</t>
  </si>
  <si>
    <t>Compétition gravelines</t>
  </si>
  <si>
    <t>12.17</t>
  </si>
  <si>
    <t>8.38</t>
  </si>
  <si>
    <t>Sortie 70' RPE 3</t>
  </si>
  <si>
    <t>Sortie 70'
3 x 10' @ RPE 4 - 5
Récup 3' 
15' facile</t>
  </si>
  <si>
    <t>Sortie 120'
15' facile
90' régulier
15' calme
RPE3</t>
  </si>
  <si>
    <t>Mobilité 10'
Corde à sauter 6 x 1'
4 x 6 Squat sauté
3 x 6 SDT KB
3 x 6 réception de step
Circuit gainage</t>
  </si>
  <si>
    <t>Sortie 75'
10' échauffement
60 rythme continue
5' retrour au calme
RPE 3</t>
  </si>
  <si>
    <t>Sortie 75'
10' facile
3 x 12 ' @ RPE 4 récup 3'
15' facile</t>
  </si>
  <si>
    <t>Sortie longue 135'
15' facile
105' vitesse stable
15' retour au calme
RPE 3</t>
  </si>
  <si>
    <t>Mobilité 10'
6 x 1' corde à sauter
3 x 6 Squat sauté + 4 kg
3 x 4 broad jump
3 x 6 réception step + 5 kg
Gainage</t>
  </si>
  <si>
    <t>Echauffement 10 '
60' marche continue
5 ' retour ay calme
rpe 3</t>
  </si>
  <si>
    <t>10' facile
3 x 15' @ rpe 4 - 5 récup 3'
15 facile</t>
  </si>
  <si>
    <t>Sortie 150 ' bien régulier</t>
  </si>
  <si>
    <t>Corde à sauter 8 x 1'
3 x 4 Squat jump + 10 kg
3 x 8 KB Swing 10 - 12 kg
3 x 6 réception step + 8 kg
Gainage</t>
  </si>
  <si>
    <t>Mobilité 10'
Corde à sauter 8 x 1 '
3 x 6 step up jump
3 x 8 KB Swing
3 x 4 broad jump
Gainage</t>
  </si>
  <si>
    <t>15' facile
60 min allure régulière
2 x 8' @ rpe 4-5
10' retour au calme</t>
  </si>
  <si>
    <t>Sortie 75 min RPE 3</t>
  </si>
  <si>
    <t>10 ' facile
2 x 25' @ rpe 4 récup 5' facile
15' facile</t>
  </si>
  <si>
    <t>Corde à sauter 6 x 2'
Squat jump 3 x 5 + 10 kg
3 x 5 SDT + 10 kg</t>
  </si>
  <si>
    <t>15' facile
120' rpe 3
30 rpe 4
15' retour au calme</t>
  </si>
  <si>
    <t>Sortie récup 90' @ RPE 2-3</t>
  </si>
  <si>
    <t>Mobilité GOWOD souplesse et mobilité (40 ')</t>
  </si>
  <si>
    <t>Corde à sauter 10'
Squat 3 x 8 tempo lent
Swissball curl 3 x 8 lent
Elevation mollet 3 x 15
Circuit gainage</t>
  </si>
  <si>
    <t>80 min @ rpe 4</t>
  </si>
  <si>
    <t>Sortie intermittent long
10' échauffement
3 x 12 ' rpe 6 Recup 3 '
15 ' facile</t>
  </si>
  <si>
    <t xml:space="preserve">Sortie longue 
150 ' 
75' facile
75' plus appuyé / plus de candence </t>
  </si>
  <si>
    <t>90 ' rpe 4</t>
  </si>
  <si>
    <t>Séance intermittente
20' echauffement
12 x 1' - 1' RPE 7 et 8 sur les dernnières (candence très haute sans rallonger le pas)
15' retour au calme</t>
  </si>
  <si>
    <t>Sortie longue 180' rpe 4 - 5</t>
  </si>
  <si>
    <t>Corde à sauter 12'
Chaise + 10 - 12 kg 8 x 30-15
Elevation mollet ISO 6x 30-30 + 8 - 10 kg
Squat 4 x 6 descente lente remontée explosive
4 x 8 fentes sautées (4 par jambe) avec réception
Gainage</t>
  </si>
  <si>
    <t>Corde à sauter 12'
Chaise + 10 - 12 kg 8 x  40-20
Elevation mollet ISO 8x 30-30 + 8 - 10 kg
Squat 3 x 6 descente lente remontée explosive
Saut sur une jambe avec COD 10 x
 20 20 20
Gainage</t>
  </si>
  <si>
    <t>Marche 70' avec 55 plus poussées et 15 tranquille</t>
  </si>
  <si>
    <t>Séance intermittente
20' echauffement
3 x 20 min rpe 6 voir 7 avec 4' entre les blocs 
15' facile</t>
  </si>
  <si>
    <t>Sortie longue
3h10 rpe 3 -4
Si jambes OKOK rajouter 15'</t>
  </si>
  <si>
    <t>Corde à sauter 12'
Chaise + 8 - 10 kg kg 4 x  1' - 1'
Elevation mollet ISO 8x 30-30 + 8 - 10 kg
Fentes bulgares 4 x 8 tempo moyen
4 x 6 saut verticaux le plus haut possible sur une jambe
3 x 4 broad jump
Gainage</t>
  </si>
  <si>
    <t>Sortie 4 x 20 min RPE 4-5</t>
  </si>
  <si>
    <t>10' echauffement
12 x (2' - 1) RPE 7 - 8 sur les 2'
15 ' retour au calme</t>
  </si>
  <si>
    <t>Sortie 3h30 régulier sur l'allure</t>
  </si>
  <si>
    <t>Corde à sauter 12'
Chaise + 8 - 10 kg kg 4 x  1' - 1'
Fentes Bulgare iso 8 x 20"20"20")
3 x 4 broad jump
3 x 4 saut verticaux 2 pieds le plus haut possible</t>
  </si>
  <si>
    <t>20' facile
6 x 1000m RPE 6 / récup 200m
15 min facile</t>
  </si>
  <si>
    <t>Sortie longue 2h30 rpe 3</t>
  </si>
  <si>
    <t>10' CAS easy
5 x 30"-30 rapide CAS
Chaise 8 x 30-30 +5kg
Elévation mollet 3 x 15 tempo lent
Squat 4 x 12 tempo lent
4 x 8 SDT KB</t>
  </si>
  <si>
    <t>Sortie 60' allure 30km</t>
  </si>
  <si>
    <t>20 min facile
8 x (4' rpe 6 - 1')
15 min facile</t>
  </si>
  <si>
    <t>sortie légère 2h30</t>
  </si>
  <si>
    <t>10' CAS easy
5 x 30"-30 rapide CAS
Chaise 6 x 30-30 +5kg
Elévation mollet 3 x 15 tempo lent
4 x 15 KB swing 
4 x 8 SDT KB</t>
  </si>
  <si>
    <t>15 min facile
10 x (3-1) rpe 6</t>
  </si>
  <si>
    <t>30 km chrono</t>
  </si>
  <si>
    <t>15' facile
3 x 4 (3' - 1')rpe 6
récup 3' entre les blos
15' tranquille</t>
  </si>
  <si>
    <t>15' facile
8 x (4' - 1'30) rpe 6 - 7
15 min facile</t>
  </si>
  <si>
    <t>Sortie longue 170 min</t>
  </si>
  <si>
    <t>CAP</t>
  </si>
  <si>
    <t>jour 3</t>
  </si>
  <si>
    <t>3 x 8 min corde à sauter
Chaise 10 x 30-15 + 7kg
4 x 8 squat + 10 kg tempo très lent
Réception de step 1 jambe 3 x 8</t>
  </si>
  <si>
    <t>Echauffement articulaire 8'
10 min très facile RPE 2 au tour de la piste
6 x 2' - 1' (RPE 6)
10 min tranquille</t>
  </si>
  <si>
    <t>Sortie longue 3h40
RPE 3</t>
  </si>
  <si>
    <t>jour 1</t>
  </si>
  <si>
    <t>Echauffement articulaire 8'
10 min très facile RPE 2 au tour de la piste
4 x 5' - 1' (RPE 6)
10 min tranquille</t>
  </si>
  <si>
    <t>10' facile
8 x 5' RPE 6-7 récup 1'30
15' tranquille</t>
  </si>
  <si>
    <t>120 min rpe 3</t>
  </si>
  <si>
    <t>90 min
10' tranquille
10 x 4' - 1'30 très élevée rpe 6-7
reste retour tranquille</t>
  </si>
  <si>
    <t>3h
20' facile
Alternance 6 x 12' à 8'40 ou moins 4') reste tranquille</t>
  </si>
  <si>
    <t>3 x 6 min corde à sauter
Chaise 8 x 40-20 +3kg
8 x 30-30 sur un pied et faire tourner un KB autour du corps
3 x 5 jump step + descente une jambe en controlant
3 x 15 squat tempo lent
3 x 15 pont fessier tempo lent</t>
  </si>
  <si>
    <t>2h
20 min facile
2 x 8' @8'40 récup 6 min
reste régulier rpe 2</t>
  </si>
  <si>
    <t>1h
10' facile
10 x 1-1 min plus rapide possible
reste très facile</t>
  </si>
  <si>
    <t>Juin</t>
  </si>
  <si>
    <t>Juillet</t>
  </si>
  <si>
    <t>Août</t>
  </si>
  <si>
    <t>Septembre</t>
  </si>
  <si>
    <t>Octobre</t>
  </si>
  <si>
    <t>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</si>
</sst>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8FAF6"/>
        <bgColor indexed="64"/>
      </patternFill>
    </fill>
    <fill>
      <patternFill patternType="solid">
        <fgColor rgb="FFF4B084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3" fontId="4" fillId="0" borderId="0" xfId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 textRotation="45"/>
    </xf>
    <xf numFmtId="0" fontId="1" fillId="19" borderId="12" xfId="0" applyFont="1" applyFill="1" applyBorder="1" applyAlignment="1">
      <alignment horizontal="center" vertical="center" textRotation="45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textRotation="45"/>
    </xf>
    <xf numFmtId="0" fontId="1" fillId="19" borderId="2" xfId="0" applyFont="1" applyFill="1" applyBorder="1" applyAlignment="1">
      <alignment horizontal="center" vertical="center" textRotation="45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20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22" borderId="30" xfId="0" applyFont="1" applyFill="1" applyBorder="1" applyAlignment="1">
      <alignment horizontal="center" vertical="center"/>
    </xf>
    <xf numFmtId="0" fontId="1" fillId="22" borderId="38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14" fontId="1" fillId="0" borderId="36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4" fontId="1" fillId="0" borderId="38" xfId="0" applyNumberFormat="1" applyFont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14" fontId="1" fillId="0" borderId="43" xfId="0" applyNumberFormat="1" applyFont="1" applyBorder="1" applyAlignment="1">
      <alignment horizontal="center" vertical="center"/>
    </xf>
    <xf numFmtId="14" fontId="1" fillId="0" borderId="37" xfId="0" applyNumberFormat="1" applyFont="1" applyBorder="1" applyAlignment="1">
      <alignment horizontal="center" vertical="center"/>
    </xf>
    <xf numFmtId="0" fontId="5" fillId="21" borderId="43" xfId="0" applyFont="1" applyFill="1" applyBorder="1" applyAlignment="1">
      <alignment horizontal="center" vertical="center"/>
    </xf>
    <xf numFmtId="0" fontId="5" fillId="21" borderId="48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24">
    <dxf>
      <fill>
        <patternFill>
          <bgColor rgb="FFD8FAF6"/>
        </patternFill>
      </fill>
    </dxf>
    <dxf>
      <font>
        <b val="0"/>
        <i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</font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</font>
      <fill>
        <patternFill>
          <bgColor theme="2" tint="-0.24994659260841701"/>
        </patternFill>
      </fill>
    </dxf>
    <dxf>
      <font>
        <b val="0"/>
        <i/>
      </font>
      <fill>
        <patternFill>
          <bgColor theme="7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8FA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9EC4A6-FF98-4AEC-A1D1-83C2EDE4928D}" name="Tableau2" displayName="Tableau2" ref="B1:O90" totalsRowShown="0" headerRowDxfId="23" dataDxfId="22">
  <autoFilter ref="B1:O90" xr:uid="{2A9EC4A6-FF98-4AEC-A1D1-83C2EDE4928D}"/>
  <tableColumns count="14">
    <tableColumn id="1" xr3:uid="{A64B88FD-547B-4818-BD4D-686DCEE58AE5}" name="Semaine" dataDxfId="21"/>
    <tableColumn id="2" xr3:uid="{AA918300-3D81-4B96-8EDC-8F0CC605284A}" name="Jour" dataDxfId="20"/>
    <tableColumn id="10" xr3:uid="{9663290F-807D-45A9-9E94-703DB8BB0F1A}" name="Type de séance" dataDxfId="19"/>
    <tableColumn id="3" xr3:uid="{91C0990C-861A-48E3-84FA-F1B3C2F3F69F}" name="Filière / Qualité " dataDxfId="18"/>
    <tableColumn id="4" xr3:uid="{66BE0558-672A-484D-B4AB-82C5AF0FA1EB}" name="Objectif physiologique" dataDxfId="17"/>
    <tableColumn id="5" xr3:uid="{8DAB5F23-4B82-4EF0-9892-43BFE914BB86}" name="Séance détaillée" dataDxfId="16"/>
    <tableColumn id="9" xr3:uid="{45E8FED0-21DF-4363-8994-09AC633A1825}" name="Distance totale (km)" dataDxfId="15"/>
    <tableColumn id="6" xr3:uid="{CE732D0B-3806-4065-BFB3-1068CB2684F1}" name="Durée totale" dataDxfId="14"/>
    <tableColumn id="11" xr3:uid="{D473D6F1-1F69-429F-85E1-9CA7766EE687}" name="temps moyen / km" dataDxfId="13" dataCellStyle="Milliers">
      <calculatedColumnFormula>Tableau2[[#This Row],[Durée totale]]/Tableau2[[#This Row],[Distance totale (km)]]</calculatedColumnFormula>
    </tableColumn>
    <tableColumn id="12" xr3:uid="{13F8A0B1-733F-4A08-B2D4-5461B9FC3BF7}" name="Vitesse moyenne (km/h)" dataDxfId="12"/>
    <tableColumn id="13" xr3:uid="{63EF3AB0-732A-4168-B397-AC25A367B464}" name="FC moyenne" dataDxfId="11"/>
    <tableColumn id="14" xr3:uid="{39CA7289-A82E-4DD4-8D9A-F0B78153768D}" name="FC MAX" dataDxfId="10"/>
    <tableColumn id="7" xr3:uid="{2BCC395B-5550-4D33-98B2-63DA20A6DAE6}" name="RPE" dataDxfId="9"/>
    <tableColumn id="8" xr3:uid="{395CA70D-8616-428D-81C0-5D996801AD4B}" name="Charge de travail" dataDxfId="8">
      <calculatedColumnFormula>Tableau2[[#This Row],[Durée totale]]*Tableau2[[#This Row],[RPE]]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D5C2E9-2545-4C3A-B0BC-17DE95C14C83}" name="Tableau3" displayName="Tableau3" ref="B1:B8" totalsRowShown="0" headerRowDxfId="7" dataDxfId="6">
  <autoFilter ref="B1:B8" xr:uid="{BCD5C2E9-2545-4C3A-B0BC-17DE95C14C83}"/>
  <tableColumns count="1">
    <tableColumn id="1" xr3:uid="{8D9897F5-8072-4DCD-83CF-8633BA7CB26D}" name="Filière énergétique / Qualité" dataDxfId="5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A70089-D7DB-430E-B57D-479A48A715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be42d89-55ba-4307-baaf-d5811539b3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9"/>
  <sheetViews>
    <sheetView showGridLines="0" tabSelected="1" topLeftCell="Q1" zoomScale="50" zoomScaleNormal="77" workbookViewId="0">
      <selection activeCell="AD31" sqref="AD31"/>
    </sheetView>
  </sheetViews>
  <sheetFormatPr baseColWidth="10" defaultColWidth="8.88671875" defaultRowHeight="14.4" x14ac:dyDescent="0.3"/>
  <cols>
    <col min="1" max="1" width="14.77734375" style="3" bestFit="1" customWidth="1"/>
    <col min="2" max="2" width="26.109375" style="3" bestFit="1" customWidth="1"/>
    <col min="3" max="4" width="13.88671875" style="3" bestFit="1" customWidth="1"/>
    <col min="5" max="8" width="19.44140625" style="3" bestFit="1" customWidth="1"/>
    <col min="9" max="9" width="16.77734375" style="3" bestFit="1" customWidth="1"/>
    <col min="10" max="13" width="19.44140625" style="3" bestFit="1" customWidth="1"/>
    <col min="14" max="15" width="14.33203125" style="3" bestFit="1" customWidth="1"/>
    <col min="16" max="16" width="17.6640625" style="3" bestFit="1" customWidth="1"/>
    <col min="17" max="20" width="19.44140625" style="3" bestFit="1" customWidth="1"/>
    <col min="21" max="21" width="16.77734375" style="3" bestFit="1" customWidth="1"/>
    <col min="22" max="25" width="19.44140625" style="3" bestFit="1" customWidth="1"/>
    <col min="26" max="26" width="13.88671875" style="3" bestFit="1" customWidth="1"/>
    <col min="27" max="27" width="14.33203125" style="3" bestFit="1" customWidth="1"/>
    <col min="28" max="28" width="17.44140625" style="3" bestFit="1" customWidth="1"/>
    <col min="29" max="30" width="14.33203125" style="3" bestFit="1" customWidth="1"/>
    <col min="31" max="31" width="13.88671875" style="3" bestFit="1" customWidth="1"/>
    <col min="32" max="34" width="14.33203125" style="3" bestFit="1" customWidth="1"/>
    <col min="35" max="35" width="13.88671875" style="3" bestFit="1" customWidth="1"/>
    <col min="36" max="38" width="14.33203125" style="3" bestFit="1" customWidth="1"/>
    <col min="39" max="39" width="13.88671875" style="3" bestFit="1" customWidth="1"/>
    <col min="40" max="46" width="14.33203125" style="3" bestFit="1" customWidth="1"/>
    <col min="47" max="47" width="13.88671875" style="3" bestFit="1" customWidth="1"/>
    <col min="48" max="48" width="13.44140625" style="3" bestFit="1" customWidth="1"/>
    <col min="49" max="50" width="13.88671875" style="3" bestFit="1" customWidth="1"/>
    <col min="51" max="54" width="13.44140625" style="3" bestFit="1" customWidth="1"/>
    <col min="55" max="60" width="13.88671875" style="3" bestFit="1" customWidth="1"/>
    <col min="61" max="61" width="13.44140625" style="3" bestFit="1" customWidth="1"/>
    <col min="62" max="63" width="13.88671875" style="3" bestFit="1" customWidth="1"/>
    <col min="64" max="65" width="14.33203125" style="3" bestFit="1" customWidth="1"/>
    <col min="66" max="66" width="13.88671875" style="3" bestFit="1" customWidth="1"/>
    <col min="67" max="69" width="14.33203125" style="3" bestFit="1" customWidth="1"/>
    <col min="70" max="70" width="13.88671875" style="3" bestFit="1" customWidth="1"/>
    <col min="71" max="72" width="14.33203125" style="3" bestFit="1" customWidth="1"/>
    <col min="73" max="16384" width="8.88671875" style="3"/>
  </cols>
  <sheetData>
    <row r="1" spans="1:72" x14ac:dyDescent="0.3">
      <c r="B1" s="2"/>
      <c r="C1" s="95" t="s">
        <v>0</v>
      </c>
      <c r="D1" s="100"/>
      <c r="E1" s="100"/>
      <c r="F1" s="45"/>
      <c r="G1" s="95" t="s">
        <v>1</v>
      </c>
      <c r="H1" s="100"/>
      <c r="I1" s="100"/>
      <c r="J1" s="45"/>
      <c r="K1" s="95" t="s">
        <v>2</v>
      </c>
      <c r="L1" s="100"/>
      <c r="M1" s="100"/>
      <c r="N1" s="45"/>
      <c r="O1" s="95" t="s">
        <v>3</v>
      </c>
      <c r="P1" s="100"/>
      <c r="Q1" s="100"/>
      <c r="R1" s="45"/>
      <c r="S1" s="95" t="s">
        <v>4</v>
      </c>
      <c r="T1" s="100"/>
      <c r="U1" s="100"/>
      <c r="V1" s="45"/>
      <c r="W1" s="28" t="s">
        <v>5</v>
      </c>
      <c r="X1" s="29"/>
      <c r="Y1" s="29"/>
      <c r="Z1" s="29"/>
      <c r="AA1" s="29"/>
      <c r="AB1" s="101"/>
      <c r="AC1" s="102" t="s">
        <v>185</v>
      </c>
      <c r="AD1" s="103"/>
      <c r="AE1" s="103"/>
      <c r="AF1" s="103"/>
      <c r="AG1" s="104"/>
      <c r="AH1" s="102" t="s">
        <v>186</v>
      </c>
      <c r="AI1" s="103"/>
      <c r="AJ1" s="103"/>
      <c r="AK1" s="104"/>
      <c r="AL1" s="102" t="s">
        <v>187</v>
      </c>
      <c r="AM1" s="103"/>
      <c r="AN1" s="103"/>
      <c r="AO1" s="103"/>
      <c r="AP1" s="104"/>
      <c r="AQ1" s="102" t="s">
        <v>188</v>
      </c>
      <c r="AR1" s="103"/>
      <c r="AS1" s="103"/>
      <c r="AT1" s="104"/>
      <c r="AU1" s="102" t="s">
        <v>189</v>
      </c>
      <c r="AV1" s="103"/>
      <c r="AW1" s="103"/>
      <c r="AX1" s="104"/>
      <c r="AY1" s="102" t="s">
        <v>190</v>
      </c>
      <c r="AZ1" s="103"/>
      <c r="BA1" s="103"/>
      <c r="BB1" s="103"/>
      <c r="BC1" s="104"/>
      <c r="BD1" s="102" t="s">
        <v>0</v>
      </c>
      <c r="BE1" s="103"/>
      <c r="BF1" s="103"/>
      <c r="BG1" s="104"/>
      <c r="BH1" s="102" t="s">
        <v>1</v>
      </c>
      <c r="BI1" s="103"/>
      <c r="BJ1" s="103"/>
      <c r="BK1" s="104"/>
      <c r="BL1" s="102" t="s">
        <v>2</v>
      </c>
      <c r="BM1" s="103"/>
      <c r="BN1" s="103"/>
      <c r="BO1" s="104"/>
      <c r="BP1" s="102" t="s">
        <v>3</v>
      </c>
      <c r="BQ1" s="103"/>
      <c r="BR1" s="103"/>
      <c r="BS1" s="103"/>
      <c r="BT1" s="104"/>
    </row>
    <row r="2" spans="1:72" ht="15" thickBot="1" x14ac:dyDescent="0.35">
      <c r="B2" s="1" t="s">
        <v>6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93">
        <v>26</v>
      </c>
      <c r="AC2" s="94">
        <v>27</v>
      </c>
      <c r="AD2" s="94">
        <v>28</v>
      </c>
      <c r="AE2" s="94">
        <v>29</v>
      </c>
      <c r="AF2" s="94">
        <v>30</v>
      </c>
      <c r="AG2" s="94">
        <v>31</v>
      </c>
      <c r="AH2" s="94">
        <v>32</v>
      </c>
      <c r="AI2" s="94">
        <v>33</v>
      </c>
      <c r="AJ2" s="94">
        <v>34</v>
      </c>
      <c r="AK2" s="94">
        <v>35</v>
      </c>
      <c r="AL2" s="94">
        <v>36</v>
      </c>
      <c r="AM2" s="94">
        <v>37</v>
      </c>
      <c r="AN2" s="94">
        <v>38</v>
      </c>
      <c r="AO2" s="94">
        <v>39</v>
      </c>
      <c r="AP2" s="94">
        <v>40</v>
      </c>
      <c r="AQ2" s="94">
        <v>41</v>
      </c>
      <c r="AR2" s="94">
        <v>42</v>
      </c>
      <c r="AS2" s="94">
        <v>43</v>
      </c>
      <c r="AT2" s="94">
        <v>44</v>
      </c>
      <c r="AU2" s="94">
        <v>45</v>
      </c>
      <c r="AV2" s="94">
        <v>46</v>
      </c>
      <c r="AW2" s="94">
        <v>47</v>
      </c>
      <c r="AX2" s="94">
        <v>48</v>
      </c>
      <c r="AY2" s="94">
        <v>49</v>
      </c>
      <c r="AZ2" s="94">
        <v>50</v>
      </c>
      <c r="BA2" s="94">
        <v>51</v>
      </c>
      <c r="BB2" s="94">
        <v>52</v>
      </c>
      <c r="BC2" s="94">
        <v>53</v>
      </c>
      <c r="BD2" s="94">
        <v>54</v>
      </c>
      <c r="BE2" s="94">
        <v>55</v>
      </c>
      <c r="BF2" s="94">
        <v>56</v>
      </c>
      <c r="BG2" s="94">
        <v>57</v>
      </c>
      <c r="BH2" s="94">
        <v>58</v>
      </c>
      <c r="BI2" s="94">
        <v>59</v>
      </c>
      <c r="BJ2" s="94">
        <v>60</v>
      </c>
      <c r="BK2" s="94">
        <v>61</v>
      </c>
      <c r="BL2" s="94">
        <v>62</v>
      </c>
      <c r="BM2" s="94">
        <v>63</v>
      </c>
      <c r="BN2" s="94">
        <v>64</v>
      </c>
      <c r="BO2" s="94">
        <v>65</v>
      </c>
      <c r="BP2" s="94">
        <v>66</v>
      </c>
      <c r="BQ2" s="94">
        <v>67</v>
      </c>
      <c r="BR2" s="94">
        <v>68</v>
      </c>
      <c r="BS2" s="94">
        <v>69</v>
      </c>
      <c r="BT2" s="94">
        <v>70</v>
      </c>
    </row>
    <row r="3" spans="1:72" x14ac:dyDescent="0.3">
      <c r="A3" s="73" t="s">
        <v>38</v>
      </c>
      <c r="B3" s="89" t="s">
        <v>7</v>
      </c>
      <c r="C3" s="77" t="s">
        <v>8</v>
      </c>
      <c r="D3" s="78"/>
      <c r="E3" s="78"/>
      <c r="F3" s="78"/>
      <c r="G3" s="78"/>
      <c r="H3" s="78"/>
      <c r="I3" s="78"/>
      <c r="J3" s="78"/>
      <c r="K3" s="81" t="s">
        <v>10</v>
      </c>
      <c r="L3" s="81"/>
      <c r="M3" s="81"/>
      <c r="N3" s="81"/>
      <c r="O3" s="81"/>
      <c r="P3" s="81"/>
      <c r="Q3" s="81"/>
      <c r="R3" s="81"/>
      <c r="S3" s="81"/>
      <c r="T3" s="81"/>
      <c r="U3" s="34" t="s">
        <v>26</v>
      </c>
      <c r="V3" s="34"/>
      <c r="W3" s="34"/>
      <c r="X3" s="34"/>
      <c r="Y3" s="34"/>
      <c r="Z3" s="34"/>
      <c r="AA3" s="34"/>
      <c r="AB3" s="34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</row>
    <row r="4" spans="1:72" ht="15" thickBot="1" x14ac:dyDescent="0.35">
      <c r="A4" s="73"/>
      <c r="B4" s="89"/>
      <c r="C4" s="79"/>
      <c r="D4" s="80"/>
      <c r="E4" s="80"/>
      <c r="F4" s="80"/>
      <c r="G4" s="80"/>
      <c r="H4" s="80"/>
      <c r="I4" s="80"/>
      <c r="J4" s="80"/>
      <c r="K4" s="82"/>
      <c r="L4" s="82"/>
      <c r="M4" s="82"/>
      <c r="N4" s="82"/>
      <c r="O4" s="82"/>
      <c r="P4" s="82"/>
      <c r="Q4" s="82"/>
      <c r="R4" s="82"/>
      <c r="S4" s="82"/>
      <c r="T4" s="82"/>
      <c r="U4" s="35"/>
      <c r="V4" s="35"/>
      <c r="W4" s="35"/>
      <c r="X4" s="35"/>
      <c r="Y4" s="35"/>
      <c r="Z4" s="35"/>
      <c r="AA4" s="35"/>
      <c r="AB4" s="35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</row>
    <row r="5" spans="1:72" x14ac:dyDescent="0.3">
      <c r="A5" s="73"/>
      <c r="B5" s="46" t="s">
        <v>9</v>
      </c>
      <c r="C5" s="88" t="s">
        <v>11</v>
      </c>
      <c r="D5" s="88"/>
      <c r="E5" s="88"/>
      <c r="F5" s="88"/>
      <c r="G5" s="88"/>
      <c r="H5" s="88"/>
      <c r="I5" s="88" t="s">
        <v>11</v>
      </c>
      <c r="J5" s="88"/>
      <c r="K5" s="88"/>
      <c r="L5" s="88"/>
      <c r="M5" s="88"/>
      <c r="N5" s="88"/>
      <c r="O5" s="50" t="s">
        <v>12</v>
      </c>
      <c r="P5" s="51"/>
      <c r="Q5" s="51"/>
      <c r="R5" s="51"/>
      <c r="S5" s="51"/>
      <c r="T5" s="51"/>
      <c r="U5" s="51"/>
      <c r="V5" s="52"/>
      <c r="W5" s="47" t="s">
        <v>13</v>
      </c>
      <c r="X5" s="48"/>
      <c r="Y5" s="49"/>
      <c r="Z5" s="87" t="s">
        <v>14</v>
      </c>
      <c r="AA5" s="87"/>
      <c r="AB5" s="117" t="s">
        <v>15</v>
      </c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</row>
    <row r="6" spans="1:72" ht="15" thickBot="1" x14ac:dyDescent="0.35">
      <c r="A6" s="73"/>
      <c r="B6" s="46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53"/>
      <c r="P6" s="54"/>
      <c r="Q6" s="54"/>
      <c r="R6" s="54"/>
      <c r="S6" s="54"/>
      <c r="T6" s="54"/>
      <c r="U6" s="54"/>
      <c r="V6" s="55"/>
      <c r="W6" s="47"/>
      <c r="X6" s="48"/>
      <c r="Y6" s="49"/>
      <c r="Z6" s="87"/>
      <c r="AA6" s="87"/>
      <c r="AB6" s="117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</row>
    <row r="7" spans="1:72" x14ac:dyDescent="0.3">
      <c r="A7" s="73"/>
      <c r="B7" s="46" t="s">
        <v>16</v>
      </c>
      <c r="C7" s="86" t="s">
        <v>17</v>
      </c>
      <c r="D7" s="86" t="s">
        <v>17</v>
      </c>
      <c r="E7" s="85" t="s">
        <v>20</v>
      </c>
      <c r="F7" s="85" t="s">
        <v>20</v>
      </c>
      <c r="G7" s="85" t="s">
        <v>20</v>
      </c>
      <c r="H7" s="85" t="s">
        <v>20</v>
      </c>
      <c r="I7" s="83" t="s">
        <v>22</v>
      </c>
      <c r="J7" s="85" t="s">
        <v>20</v>
      </c>
      <c r="K7" s="85" t="s">
        <v>20</v>
      </c>
      <c r="L7" s="85" t="s">
        <v>20</v>
      </c>
      <c r="M7" s="85" t="s">
        <v>20</v>
      </c>
      <c r="N7" s="84" t="s">
        <v>19</v>
      </c>
      <c r="O7" s="75" t="s">
        <v>21</v>
      </c>
      <c r="P7" s="83" t="s">
        <v>22</v>
      </c>
      <c r="Q7" s="56" t="s">
        <v>20</v>
      </c>
      <c r="R7" s="56" t="s">
        <v>20</v>
      </c>
      <c r="S7" s="56" t="s">
        <v>20</v>
      </c>
      <c r="T7" s="56" t="s">
        <v>20</v>
      </c>
      <c r="U7" s="83" t="s">
        <v>22</v>
      </c>
      <c r="V7" s="56" t="s">
        <v>20</v>
      </c>
      <c r="W7" s="56" t="s">
        <v>20</v>
      </c>
      <c r="X7" s="56" t="s">
        <v>20</v>
      </c>
      <c r="Y7" s="56" t="s">
        <v>20</v>
      </c>
      <c r="Z7" s="84" t="s">
        <v>19</v>
      </c>
      <c r="AA7" s="84" t="s">
        <v>19</v>
      </c>
      <c r="AB7" s="117" t="s">
        <v>18</v>
      </c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</row>
    <row r="8" spans="1:72" ht="15" thickBot="1" x14ac:dyDescent="0.35">
      <c r="A8" s="73"/>
      <c r="B8" s="46"/>
      <c r="C8" s="86"/>
      <c r="D8" s="86"/>
      <c r="E8" s="85"/>
      <c r="F8" s="85"/>
      <c r="G8" s="85"/>
      <c r="H8" s="85"/>
      <c r="I8" s="83"/>
      <c r="J8" s="85"/>
      <c r="K8" s="85"/>
      <c r="L8" s="85"/>
      <c r="M8" s="85"/>
      <c r="N8" s="84"/>
      <c r="O8" s="75"/>
      <c r="P8" s="83"/>
      <c r="Q8" s="56"/>
      <c r="R8" s="56"/>
      <c r="S8" s="56"/>
      <c r="T8" s="56"/>
      <c r="U8" s="83"/>
      <c r="V8" s="56"/>
      <c r="W8" s="56"/>
      <c r="X8" s="56"/>
      <c r="Y8" s="56"/>
      <c r="Z8" s="84"/>
      <c r="AA8" s="84"/>
      <c r="AB8" s="117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</row>
    <row r="9" spans="1:72" x14ac:dyDescent="0.3">
      <c r="A9" s="73"/>
      <c r="B9" s="76" t="s">
        <v>23</v>
      </c>
      <c r="C9" s="46" t="s">
        <v>24</v>
      </c>
      <c r="D9" s="46" t="s">
        <v>24</v>
      </c>
      <c r="E9" s="46" t="s">
        <v>24</v>
      </c>
      <c r="F9" s="46" t="s">
        <v>24</v>
      </c>
      <c r="G9" s="46" t="s">
        <v>24</v>
      </c>
      <c r="H9" s="46" t="s">
        <v>24</v>
      </c>
      <c r="I9" s="46" t="s">
        <v>24</v>
      </c>
      <c r="J9" s="46" t="s">
        <v>24</v>
      </c>
      <c r="K9" s="46" t="s">
        <v>24</v>
      </c>
      <c r="L9" s="46" t="s">
        <v>24</v>
      </c>
      <c r="M9" s="46" t="s">
        <v>24</v>
      </c>
      <c r="N9" s="46" t="s">
        <v>24</v>
      </c>
      <c r="O9" s="46" t="str">
        <f>N9</f>
        <v>Lundi</v>
      </c>
      <c r="P9" s="46" t="str">
        <f>O9</f>
        <v>Lundi</v>
      </c>
      <c r="Q9" s="46" t="str">
        <f t="shared" ref="Q9:Z9" si="0">P9</f>
        <v>Lundi</v>
      </c>
      <c r="R9" s="46" t="str">
        <f t="shared" si="0"/>
        <v>Lundi</v>
      </c>
      <c r="S9" s="46" t="str">
        <f t="shared" si="0"/>
        <v>Lundi</v>
      </c>
      <c r="T9" s="46" t="str">
        <f t="shared" si="0"/>
        <v>Lundi</v>
      </c>
      <c r="U9" s="46" t="str">
        <f t="shared" si="0"/>
        <v>Lundi</v>
      </c>
      <c r="V9" s="46" t="str">
        <f t="shared" si="0"/>
        <v>Lundi</v>
      </c>
      <c r="W9" s="46" t="str">
        <f t="shared" si="0"/>
        <v>Lundi</v>
      </c>
      <c r="X9" s="46" t="str">
        <f t="shared" si="0"/>
        <v>Lundi</v>
      </c>
      <c r="Y9" s="46" t="str">
        <f t="shared" si="0"/>
        <v>Lundi</v>
      </c>
      <c r="Z9" s="46" t="str">
        <f t="shared" si="0"/>
        <v>Lundi</v>
      </c>
      <c r="AA9" s="46" t="str">
        <f t="shared" ref="AA9" si="1">Z9</f>
        <v>Lundi</v>
      </c>
      <c r="AB9" s="95" t="str">
        <f t="shared" ref="AB9" si="2">AA9</f>
        <v>Lundi</v>
      </c>
      <c r="AC9" s="120" t="str">
        <f>AB9</f>
        <v>Lundi</v>
      </c>
      <c r="AD9" s="120" t="str">
        <f t="shared" ref="AD9:BT9" si="3">AC9</f>
        <v>Lundi</v>
      </c>
      <c r="AE9" s="120" t="str">
        <f t="shared" si="3"/>
        <v>Lundi</v>
      </c>
      <c r="AF9" s="120" t="str">
        <f t="shared" si="3"/>
        <v>Lundi</v>
      </c>
      <c r="AG9" s="120" t="str">
        <f t="shared" si="3"/>
        <v>Lundi</v>
      </c>
      <c r="AH9" s="120" t="str">
        <f t="shared" si="3"/>
        <v>Lundi</v>
      </c>
      <c r="AI9" s="120" t="str">
        <f t="shared" si="3"/>
        <v>Lundi</v>
      </c>
      <c r="AJ9" s="120" t="str">
        <f t="shared" si="3"/>
        <v>Lundi</v>
      </c>
      <c r="AK9" s="120" t="str">
        <f t="shared" si="3"/>
        <v>Lundi</v>
      </c>
      <c r="AL9" s="120" t="str">
        <f t="shared" si="3"/>
        <v>Lundi</v>
      </c>
      <c r="AM9" s="120" t="str">
        <f t="shared" si="3"/>
        <v>Lundi</v>
      </c>
      <c r="AN9" s="120" t="str">
        <f t="shared" si="3"/>
        <v>Lundi</v>
      </c>
      <c r="AO9" s="120" t="str">
        <f t="shared" si="3"/>
        <v>Lundi</v>
      </c>
      <c r="AP9" s="120" t="str">
        <f t="shared" si="3"/>
        <v>Lundi</v>
      </c>
      <c r="AQ9" s="120" t="str">
        <f t="shared" si="3"/>
        <v>Lundi</v>
      </c>
      <c r="AR9" s="120" t="str">
        <f t="shared" si="3"/>
        <v>Lundi</v>
      </c>
      <c r="AS9" s="120" t="str">
        <f t="shared" si="3"/>
        <v>Lundi</v>
      </c>
      <c r="AT9" s="120" t="str">
        <f t="shared" si="3"/>
        <v>Lundi</v>
      </c>
      <c r="AU9" s="120" t="str">
        <f t="shared" si="3"/>
        <v>Lundi</v>
      </c>
      <c r="AV9" s="120" t="str">
        <f t="shared" si="3"/>
        <v>Lundi</v>
      </c>
      <c r="AW9" s="120" t="str">
        <f t="shared" si="3"/>
        <v>Lundi</v>
      </c>
      <c r="AX9" s="120" t="str">
        <f t="shared" si="3"/>
        <v>Lundi</v>
      </c>
      <c r="AY9" s="120" t="str">
        <f t="shared" si="3"/>
        <v>Lundi</v>
      </c>
      <c r="AZ9" s="120" t="str">
        <f t="shared" si="3"/>
        <v>Lundi</v>
      </c>
      <c r="BA9" s="120" t="str">
        <f t="shared" si="3"/>
        <v>Lundi</v>
      </c>
      <c r="BB9" s="120" t="str">
        <f t="shared" si="3"/>
        <v>Lundi</v>
      </c>
      <c r="BC9" s="120" t="str">
        <f t="shared" si="3"/>
        <v>Lundi</v>
      </c>
      <c r="BD9" s="120" t="str">
        <f t="shared" si="3"/>
        <v>Lundi</v>
      </c>
      <c r="BE9" s="120" t="str">
        <f t="shared" si="3"/>
        <v>Lundi</v>
      </c>
      <c r="BF9" s="120" t="str">
        <f t="shared" si="3"/>
        <v>Lundi</v>
      </c>
      <c r="BG9" s="120" t="str">
        <f t="shared" si="3"/>
        <v>Lundi</v>
      </c>
      <c r="BH9" s="120" t="str">
        <f t="shared" si="3"/>
        <v>Lundi</v>
      </c>
      <c r="BI9" s="120" t="str">
        <f t="shared" si="3"/>
        <v>Lundi</v>
      </c>
      <c r="BJ9" s="120" t="str">
        <f t="shared" si="3"/>
        <v>Lundi</v>
      </c>
      <c r="BK9" s="120" t="str">
        <f t="shared" si="3"/>
        <v>Lundi</v>
      </c>
      <c r="BL9" s="120" t="str">
        <f t="shared" si="3"/>
        <v>Lundi</v>
      </c>
      <c r="BM9" s="120" t="str">
        <f t="shared" si="3"/>
        <v>Lundi</v>
      </c>
      <c r="BN9" s="120" t="str">
        <f t="shared" si="3"/>
        <v>Lundi</v>
      </c>
      <c r="BO9" s="120" t="str">
        <f t="shared" si="3"/>
        <v>Lundi</v>
      </c>
      <c r="BP9" s="120" t="str">
        <f t="shared" si="3"/>
        <v>Lundi</v>
      </c>
      <c r="BQ9" s="120" t="str">
        <f t="shared" si="3"/>
        <v>Lundi</v>
      </c>
      <c r="BR9" s="120" t="str">
        <f t="shared" si="3"/>
        <v>Lundi</v>
      </c>
      <c r="BS9" s="120" t="str">
        <f t="shared" si="3"/>
        <v>Lundi</v>
      </c>
      <c r="BT9" s="120" t="str">
        <f t="shared" si="3"/>
        <v>Lundi</v>
      </c>
    </row>
    <row r="10" spans="1:72" ht="15" thickBot="1" x14ac:dyDescent="0.35">
      <c r="A10" s="73"/>
      <c r="B10" s="7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95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</row>
    <row r="11" spans="1:72" x14ac:dyDescent="0.3">
      <c r="A11" s="73"/>
      <c r="B11" s="76" t="s">
        <v>25</v>
      </c>
      <c r="C11" s="46" t="s">
        <v>27</v>
      </c>
      <c r="D11" s="46"/>
      <c r="E11" s="46"/>
      <c r="F11" s="46"/>
      <c r="G11" s="46"/>
      <c r="H11" s="46"/>
      <c r="I11" s="46"/>
      <c r="J11" s="46"/>
      <c r="K11" s="46" t="s">
        <v>28</v>
      </c>
      <c r="L11" s="46"/>
      <c r="M11" s="46"/>
      <c r="N11" s="46" t="s">
        <v>29</v>
      </c>
      <c r="O11" s="46"/>
      <c r="P11" s="46"/>
      <c r="Q11" s="46"/>
      <c r="R11" s="46"/>
      <c r="S11" s="46"/>
      <c r="T11" s="46"/>
      <c r="U11" s="25" t="s">
        <v>30</v>
      </c>
      <c r="V11" s="26"/>
      <c r="W11" s="26"/>
      <c r="X11" s="26"/>
      <c r="Y11" s="27"/>
      <c r="Z11" s="25" t="s">
        <v>31</v>
      </c>
      <c r="AA11" s="27"/>
      <c r="AB11" s="117" t="s">
        <v>18</v>
      </c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</row>
    <row r="12" spans="1:72" ht="15" thickBot="1" x14ac:dyDescent="0.35">
      <c r="A12" s="74"/>
      <c r="B12" s="7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28"/>
      <c r="V12" s="29"/>
      <c r="W12" s="29"/>
      <c r="X12" s="29"/>
      <c r="Y12" s="30"/>
      <c r="Z12" s="28"/>
      <c r="AA12" s="30"/>
      <c r="AB12" s="117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</row>
    <row r="13" spans="1:72" ht="14.4" customHeight="1" x14ac:dyDescent="0.3">
      <c r="A13" s="39" t="s">
        <v>32</v>
      </c>
      <c r="B13" s="45" t="s">
        <v>33</v>
      </c>
      <c r="C13" s="57" t="s">
        <v>34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</row>
    <row r="14" spans="1:72" ht="15" thickBot="1" x14ac:dyDescent="0.35">
      <c r="A14" s="40"/>
      <c r="B14" s="45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</row>
    <row r="15" spans="1:72" x14ac:dyDescent="0.3">
      <c r="A15" s="40"/>
      <c r="B15" s="45" t="s">
        <v>35</v>
      </c>
      <c r="C15" s="41"/>
      <c r="D15" s="41"/>
      <c r="E15" s="41"/>
      <c r="F15" s="41"/>
      <c r="G15" s="41"/>
      <c r="H15" s="41"/>
      <c r="I15" s="41"/>
      <c r="J15" s="41"/>
      <c r="K15" s="46"/>
      <c r="L15" s="46"/>
      <c r="M15" s="46"/>
      <c r="N15" s="46"/>
      <c r="O15" s="46"/>
      <c r="P15" s="63"/>
      <c r="Q15" s="64"/>
      <c r="R15" s="64"/>
      <c r="S15" s="64"/>
      <c r="T15" s="64"/>
      <c r="U15" s="64"/>
      <c r="V15" s="64"/>
      <c r="W15" s="64"/>
      <c r="X15" s="64"/>
      <c r="Y15" s="65"/>
      <c r="Z15" s="71"/>
      <c r="AA15" s="72"/>
      <c r="AB15" s="118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</row>
    <row r="16" spans="1:72" ht="15" thickBot="1" x14ac:dyDescent="0.35">
      <c r="A16" s="40"/>
      <c r="B16" s="45"/>
      <c r="C16" s="41"/>
      <c r="D16" s="41"/>
      <c r="E16" s="41"/>
      <c r="F16" s="41"/>
      <c r="G16" s="41"/>
      <c r="H16" s="41"/>
      <c r="I16" s="41"/>
      <c r="J16" s="41"/>
      <c r="K16" s="46"/>
      <c r="L16" s="46"/>
      <c r="M16" s="46"/>
      <c r="N16" s="46"/>
      <c r="O16" s="46"/>
      <c r="P16" s="66"/>
      <c r="Q16" s="67"/>
      <c r="R16" s="67"/>
      <c r="S16" s="67"/>
      <c r="T16" s="67"/>
      <c r="U16" s="67"/>
      <c r="V16" s="67"/>
      <c r="W16" s="67"/>
      <c r="X16" s="67"/>
      <c r="Y16" s="68"/>
      <c r="Z16" s="71"/>
      <c r="AA16" s="72"/>
      <c r="AB16" s="118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</row>
    <row r="17" spans="1:72" x14ac:dyDescent="0.3">
      <c r="A17" s="40"/>
      <c r="B17" s="45" t="s">
        <v>36</v>
      </c>
      <c r="C17" s="46"/>
      <c r="D17" s="46"/>
      <c r="E17" s="46"/>
      <c r="F17" s="46"/>
      <c r="G17" s="46"/>
      <c r="H17" s="46"/>
      <c r="I17" s="46"/>
      <c r="J17" s="46"/>
      <c r="K17" s="46"/>
      <c r="L17" s="41"/>
      <c r="M17" s="41"/>
      <c r="N17" s="41"/>
      <c r="O17" s="41"/>
      <c r="P17" s="46"/>
      <c r="Q17" s="42"/>
      <c r="R17" s="42"/>
      <c r="S17" s="42"/>
      <c r="T17" s="42"/>
      <c r="U17" s="46"/>
      <c r="V17" s="46"/>
      <c r="W17" s="46"/>
      <c r="X17" s="46"/>
      <c r="Y17" s="46"/>
      <c r="Z17" s="71"/>
      <c r="AA17" s="72"/>
      <c r="AB17" s="118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</row>
    <row r="18" spans="1:72" ht="15" thickBot="1" x14ac:dyDescent="0.35">
      <c r="A18" s="40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1"/>
      <c r="M18" s="41"/>
      <c r="N18" s="41"/>
      <c r="O18" s="41"/>
      <c r="P18" s="46"/>
      <c r="Q18" s="42"/>
      <c r="R18" s="42"/>
      <c r="S18" s="42"/>
      <c r="T18" s="42"/>
      <c r="U18" s="46"/>
      <c r="V18" s="46"/>
      <c r="W18" s="46"/>
      <c r="X18" s="46"/>
      <c r="Y18" s="46"/>
      <c r="Z18" s="71"/>
      <c r="AA18" s="72"/>
      <c r="AB18" s="118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</row>
    <row r="19" spans="1:72" x14ac:dyDescent="0.3">
      <c r="A19" s="40"/>
      <c r="B19" s="45" t="s">
        <v>37</v>
      </c>
      <c r="C19" s="46"/>
      <c r="D19" s="46"/>
      <c r="E19" s="46"/>
      <c r="F19" s="46"/>
      <c r="G19" s="46"/>
      <c r="H19" s="46"/>
      <c r="I19" s="46"/>
      <c r="J19" s="46"/>
      <c r="K19" s="41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1"/>
      <c r="X19" s="46"/>
      <c r="Y19" s="46"/>
      <c r="Z19" s="71"/>
      <c r="AA19" s="72"/>
      <c r="AB19" s="118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</row>
    <row r="20" spans="1:72" ht="15" thickBot="1" x14ac:dyDescent="0.35">
      <c r="A20" s="40"/>
      <c r="B20" s="45"/>
      <c r="C20" s="46"/>
      <c r="D20" s="46"/>
      <c r="E20" s="46"/>
      <c r="F20" s="46"/>
      <c r="G20" s="46"/>
      <c r="H20" s="46"/>
      <c r="I20" s="46"/>
      <c r="J20" s="46"/>
      <c r="K20" s="41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1"/>
      <c r="X20" s="46"/>
      <c r="Y20" s="46"/>
      <c r="Z20" s="71"/>
      <c r="AA20" s="72"/>
      <c r="AB20" s="118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</row>
    <row r="21" spans="1:72" x14ac:dyDescent="0.3">
      <c r="A21" s="40"/>
      <c r="B21" s="45" t="s">
        <v>39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2"/>
      <c r="X21" s="25"/>
      <c r="Y21" s="27"/>
      <c r="Z21" s="41"/>
      <c r="AA21" s="41"/>
      <c r="AB21" s="118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</row>
    <row r="22" spans="1:72" ht="15" thickBot="1" x14ac:dyDescent="0.35">
      <c r="A22" s="40"/>
      <c r="B22" s="27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43"/>
      <c r="X22" s="61"/>
      <c r="Y22" s="62"/>
      <c r="Z22" s="69"/>
      <c r="AA22" s="69"/>
      <c r="AB22" s="119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</row>
    <row r="23" spans="1:72" x14ac:dyDescent="0.3">
      <c r="A23" s="40"/>
      <c r="B23" s="36" t="s">
        <v>55</v>
      </c>
      <c r="C23" s="23"/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1"/>
      <c r="O23" s="31"/>
      <c r="P23" s="31"/>
      <c r="Q23" s="32"/>
      <c r="R23" s="32"/>
      <c r="S23" s="32"/>
      <c r="T23" s="32"/>
      <c r="U23" s="32"/>
      <c r="V23" s="32"/>
      <c r="W23" s="31"/>
      <c r="X23" s="31"/>
      <c r="Y23" s="31"/>
      <c r="Z23" s="31"/>
      <c r="AA23" s="31"/>
      <c r="AB23" s="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</row>
    <row r="24" spans="1:72" ht="15" thickBot="1" x14ac:dyDescent="0.35">
      <c r="A24" s="40"/>
      <c r="B24" s="37"/>
      <c r="C24" s="23"/>
      <c r="D24" s="31"/>
      <c r="E24" s="32"/>
      <c r="F24" s="32"/>
      <c r="G24" s="32"/>
      <c r="H24" s="32"/>
      <c r="I24" s="32"/>
      <c r="J24" s="32"/>
      <c r="K24" s="32"/>
      <c r="L24" s="32"/>
      <c r="M24" s="32"/>
      <c r="N24" s="31"/>
      <c r="O24" s="31"/>
      <c r="P24" s="31"/>
      <c r="Q24" s="32"/>
      <c r="R24" s="32"/>
      <c r="S24" s="32"/>
      <c r="T24" s="32"/>
      <c r="U24" s="32"/>
      <c r="V24" s="32"/>
      <c r="W24" s="44"/>
      <c r="X24" s="44"/>
      <c r="Y24" s="44"/>
      <c r="Z24" s="44"/>
      <c r="AA24" s="44"/>
      <c r="AB24" s="2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3"/>
      <c r="BP24" s="123"/>
      <c r="BQ24" s="123"/>
      <c r="BR24" s="123"/>
      <c r="BS24" s="123"/>
      <c r="BT24" s="123"/>
    </row>
    <row r="25" spans="1:72" x14ac:dyDescent="0.3">
      <c r="A25" s="7" t="s">
        <v>46</v>
      </c>
      <c r="B25" s="22" t="s">
        <v>24</v>
      </c>
      <c r="C25" s="4" t="s">
        <v>49</v>
      </c>
      <c r="D25" s="4" t="s">
        <v>60</v>
      </c>
      <c r="E25" s="4"/>
      <c r="F25" s="4" t="s">
        <v>49</v>
      </c>
      <c r="G25" s="4" t="s">
        <v>61</v>
      </c>
      <c r="H25" s="4"/>
      <c r="I25" s="4"/>
      <c r="J25" s="4" t="s">
        <v>49</v>
      </c>
      <c r="K25" s="4"/>
      <c r="L25" s="4"/>
      <c r="M25" s="4" t="s">
        <v>49</v>
      </c>
      <c r="N25" s="4" t="s">
        <v>49</v>
      </c>
      <c r="O25" s="4" t="s">
        <v>49</v>
      </c>
      <c r="P25" s="4" t="s">
        <v>49</v>
      </c>
      <c r="Q25" s="5" t="s">
        <v>60</v>
      </c>
      <c r="R25" s="5" t="s">
        <v>60</v>
      </c>
      <c r="S25" s="5" t="s">
        <v>60</v>
      </c>
      <c r="T25" s="4" t="s">
        <v>60</v>
      </c>
      <c r="U25" s="10"/>
      <c r="V25" s="4" t="s">
        <v>49</v>
      </c>
      <c r="W25" s="4"/>
      <c r="X25" s="4"/>
      <c r="Y25" s="4"/>
      <c r="Z25" s="10" t="s">
        <v>60</v>
      </c>
      <c r="AA25" s="4" t="s">
        <v>49</v>
      </c>
      <c r="AB25" s="19" t="s">
        <v>49</v>
      </c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</row>
    <row r="26" spans="1:72" x14ac:dyDescent="0.3">
      <c r="A26" s="8" t="s">
        <v>47</v>
      </c>
      <c r="B26" s="24"/>
      <c r="C26" s="5" t="s">
        <v>60</v>
      </c>
      <c r="D26" s="5"/>
      <c r="E26" s="5"/>
      <c r="F26" s="5" t="s">
        <v>49</v>
      </c>
      <c r="G26" s="5"/>
      <c r="H26" s="5" t="s">
        <v>60</v>
      </c>
      <c r="I26" s="5"/>
      <c r="J26" s="5"/>
      <c r="K26" s="5"/>
      <c r="L26" s="5"/>
      <c r="M26" s="5" t="s">
        <v>49</v>
      </c>
      <c r="N26" s="5"/>
      <c r="O26" s="5" t="s">
        <v>60</v>
      </c>
      <c r="P26" s="5" t="s">
        <v>49</v>
      </c>
      <c r="R26" s="5"/>
      <c r="S26" s="5"/>
      <c r="T26" s="5"/>
      <c r="U26" s="5"/>
      <c r="V26" s="5" t="s">
        <v>61</v>
      </c>
      <c r="W26" s="5"/>
      <c r="X26" s="5"/>
      <c r="Y26" s="5"/>
      <c r="Z26" s="5"/>
      <c r="AA26" s="5"/>
      <c r="AB26" s="20" t="s">
        <v>60</v>
      </c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</row>
    <row r="27" spans="1:72" ht="15" thickBot="1" x14ac:dyDescent="0.35">
      <c r="A27" s="9" t="s">
        <v>48</v>
      </c>
      <c r="B27" s="33"/>
      <c r="C27" s="6"/>
      <c r="D27" s="6"/>
      <c r="E27" s="6"/>
      <c r="F27" s="6"/>
      <c r="G27" s="6" t="s">
        <v>49</v>
      </c>
      <c r="H27" s="6"/>
      <c r="I27" s="6"/>
      <c r="J27" s="6" t="s">
        <v>60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109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</row>
    <row r="28" spans="1:72" x14ac:dyDescent="0.3">
      <c r="A28" s="7" t="s">
        <v>46</v>
      </c>
      <c r="B28" s="22" t="s">
        <v>40</v>
      </c>
      <c r="C28" s="4" t="s">
        <v>49</v>
      </c>
      <c r="D28" s="4"/>
      <c r="E28" s="4"/>
      <c r="F28" s="4"/>
      <c r="G28" s="4"/>
      <c r="H28" s="4"/>
      <c r="I28" s="4" t="s">
        <v>61</v>
      </c>
      <c r="J28" s="4" t="s">
        <v>49</v>
      </c>
      <c r="K28" s="4" t="s">
        <v>60</v>
      </c>
      <c r="L28" s="4" t="s">
        <v>60</v>
      </c>
      <c r="M28" s="4"/>
      <c r="N28" s="4" t="s">
        <v>49</v>
      </c>
      <c r="O28" s="4" t="s">
        <v>49</v>
      </c>
      <c r="P28" s="4"/>
      <c r="Q28" s="4"/>
      <c r="R28" s="4"/>
      <c r="S28" s="4"/>
      <c r="T28" s="4"/>
      <c r="U28" s="4" t="s">
        <v>49</v>
      </c>
      <c r="V28" s="4" t="s">
        <v>49</v>
      </c>
      <c r="W28" s="4" t="s">
        <v>49</v>
      </c>
      <c r="X28" s="4"/>
      <c r="Y28" s="4" t="s">
        <v>61</v>
      </c>
      <c r="Z28" s="4" t="s">
        <v>49</v>
      </c>
      <c r="AA28" s="4" t="s">
        <v>49</v>
      </c>
      <c r="AB28" s="19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</row>
    <row r="29" spans="1:72" x14ac:dyDescent="0.3">
      <c r="A29" s="8" t="s">
        <v>47</v>
      </c>
      <c r="B29" s="24"/>
      <c r="C29" s="5"/>
      <c r="D29" s="5"/>
      <c r="E29" s="5"/>
      <c r="F29" s="5"/>
      <c r="G29" s="5"/>
      <c r="H29" s="5"/>
      <c r="I29" s="5"/>
      <c r="J29" s="5"/>
      <c r="K29" s="5"/>
      <c r="L29" s="5"/>
      <c r="M29" s="5" t="s">
        <v>60</v>
      </c>
      <c r="N29" s="5" t="s">
        <v>49</v>
      </c>
      <c r="O29" s="5"/>
      <c r="P29" s="5"/>
      <c r="Q29" s="5"/>
      <c r="R29" s="5"/>
      <c r="S29" s="5"/>
      <c r="T29" s="5"/>
      <c r="U29" s="5" t="s">
        <v>49</v>
      </c>
      <c r="V29" s="5"/>
      <c r="W29" s="5" t="s">
        <v>49</v>
      </c>
      <c r="X29" s="5"/>
      <c r="Y29" s="5"/>
      <c r="Z29" s="5" t="s">
        <v>49</v>
      </c>
      <c r="AA29" s="5"/>
      <c r="AB29" s="20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</row>
    <row r="30" spans="1:72" ht="15" thickBot="1" x14ac:dyDescent="0.35">
      <c r="A30" s="9" t="s">
        <v>48</v>
      </c>
      <c r="B30" s="33"/>
      <c r="C30" s="6" t="s">
        <v>58</v>
      </c>
      <c r="D30" s="6" t="s">
        <v>58</v>
      </c>
      <c r="E30" s="6" t="s">
        <v>58</v>
      </c>
      <c r="F30" s="6" t="s">
        <v>58</v>
      </c>
      <c r="G30" s="6" t="s">
        <v>58</v>
      </c>
      <c r="H30" s="6" t="s">
        <v>49</v>
      </c>
      <c r="I30" s="6" t="s">
        <v>58</v>
      </c>
      <c r="J30" s="6" t="s">
        <v>58</v>
      </c>
      <c r="K30" s="6" t="s">
        <v>49</v>
      </c>
      <c r="L30" s="6" t="s">
        <v>58</v>
      </c>
      <c r="M30" s="6" t="s">
        <v>58</v>
      </c>
      <c r="N30" s="6" t="s">
        <v>58</v>
      </c>
      <c r="O30" s="6" t="s">
        <v>58</v>
      </c>
      <c r="P30" s="6" t="s">
        <v>58</v>
      </c>
      <c r="Q30" s="6" t="s">
        <v>58</v>
      </c>
      <c r="R30" s="6" t="s">
        <v>58</v>
      </c>
      <c r="S30" s="6" t="s">
        <v>58</v>
      </c>
      <c r="T30" s="6" t="s">
        <v>58</v>
      </c>
      <c r="U30" s="6" t="s">
        <v>58</v>
      </c>
      <c r="V30" s="6" t="s">
        <v>58</v>
      </c>
      <c r="W30" s="6" t="s">
        <v>58</v>
      </c>
      <c r="X30" s="6" t="s">
        <v>58</v>
      </c>
      <c r="Y30" s="6" t="s">
        <v>58</v>
      </c>
      <c r="Z30" s="6" t="s">
        <v>58</v>
      </c>
      <c r="AA30" s="6" t="s">
        <v>58</v>
      </c>
      <c r="AB30" s="109" t="s">
        <v>58</v>
      </c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</row>
    <row r="31" spans="1:72" x14ac:dyDescent="0.3">
      <c r="A31" s="7" t="s">
        <v>46</v>
      </c>
      <c r="B31" s="22" t="s">
        <v>41</v>
      </c>
      <c r="C31" s="4" t="s">
        <v>49</v>
      </c>
      <c r="D31" s="4" t="s">
        <v>49</v>
      </c>
      <c r="E31" s="4"/>
      <c r="F31" s="4"/>
      <c r="G31" s="4" t="s">
        <v>60</v>
      </c>
      <c r="H31" s="4"/>
      <c r="I31" s="4"/>
      <c r="J31" s="4" t="s">
        <v>49</v>
      </c>
      <c r="K31" s="4"/>
      <c r="L31" s="4"/>
      <c r="M31" s="4"/>
      <c r="N31" s="4"/>
      <c r="O31" s="4" t="s">
        <v>49</v>
      </c>
      <c r="P31" s="4" t="s">
        <v>49</v>
      </c>
      <c r="Q31" s="4"/>
      <c r="R31" s="4"/>
      <c r="S31" s="4"/>
      <c r="T31" s="10"/>
      <c r="U31" s="4"/>
      <c r="V31" s="4" t="s">
        <v>49</v>
      </c>
      <c r="W31" s="4" t="s">
        <v>49</v>
      </c>
      <c r="X31" s="4" t="s">
        <v>49</v>
      </c>
      <c r="Y31" s="4" t="s">
        <v>60</v>
      </c>
      <c r="Z31" s="4" t="s">
        <v>49</v>
      </c>
      <c r="AA31" s="4" t="s">
        <v>49</v>
      </c>
      <c r="AB31" s="19" t="s">
        <v>49</v>
      </c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</row>
    <row r="32" spans="1:72" x14ac:dyDescent="0.3">
      <c r="A32" s="8" t="s">
        <v>47</v>
      </c>
      <c r="B32" s="24"/>
      <c r="C32" s="5" t="s">
        <v>61</v>
      </c>
      <c r="D32" s="5" t="s">
        <v>49</v>
      </c>
      <c r="E32" s="5" t="s">
        <v>60</v>
      </c>
      <c r="F32" s="5" t="s">
        <v>61</v>
      </c>
      <c r="G32" s="5"/>
      <c r="H32" s="5" t="s">
        <v>61</v>
      </c>
      <c r="I32" s="5" t="s">
        <v>61</v>
      </c>
      <c r="J32" s="5"/>
      <c r="K32" s="5"/>
      <c r="L32" s="5" t="s">
        <v>62</v>
      </c>
      <c r="M32" s="5"/>
      <c r="N32" s="5" t="s">
        <v>60</v>
      </c>
      <c r="O32" s="5" t="s">
        <v>60</v>
      </c>
      <c r="P32" s="5" t="s">
        <v>61</v>
      </c>
      <c r="Q32" s="5" t="s">
        <v>60</v>
      </c>
      <c r="R32" s="5" t="s">
        <v>60</v>
      </c>
      <c r="S32" s="5" t="s">
        <v>60</v>
      </c>
      <c r="T32" s="5" t="s">
        <v>60</v>
      </c>
      <c r="U32" s="5" t="s">
        <v>60</v>
      </c>
      <c r="V32" s="5" t="s">
        <v>60</v>
      </c>
      <c r="W32" s="5" t="s">
        <v>49</v>
      </c>
      <c r="X32" s="5" t="s">
        <v>53</v>
      </c>
      <c r="Y32" s="5"/>
      <c r="Z32" s="5" t="s">
        <v>49</v>
      </c>
      <c r="AA32" s="5" t="s">
        <v>60</v>
      </c>
      <c r="AB32" s="20" t="s">
        <v>49</v>
      </c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</row>
    <row r="33" spans="1:72" ht="15" thickBot="1" x14ac:dyDescent="0.35">
      <c r="A33" s="9" t="s">
        <v>48</v>
      </c>
      <c r="B33" s="33"/>
      <c r="C33" s="6"/>
      <c r="D33" s="5"/>
      <c r="E33" s="5"/>
      <c r="F33" s="5"/>
      <c r="G33" s="6"/>
      <c r="H33" s="6"/>
      <c r="I33" s="6"/>
      <c r="J33" s="6"/>
      <c r="K33" s="6" t="s">
        <v>49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109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</row>
    <row r="34" spans="1:72" x14ac:dyDescent="0.3">
      <c r="A34" s="7" t="s">
        <v>46</v>
      </c>
      <c r="B34" s="36" t="s">
        <v>42</v>
      </c>
      <c r="C34" s="4" t="s">
        <v>49</v>
      </c>
      <c r="D34" s="11" t="s">
        <v>60</v>
      </c>
      <c r="E34" s="11" t="s">
        <v>61</v>
      </c>
      <c r="F34" s="11" t="s">
        <v>60</v>
      </c>
      <c r="G34" s="4" t="s">
        <v>50</v>
      </c>
      <c r="H34" s="4"/>
      <c r="I34" s="4" t="s">
        <v>49</v>
      </c>
      <c r="J34" s="4" t="s">
        <v>49</v>
      </c>
      <c r="K34" s="4"/>
      <c r="L34" s="4" t="s">
        <v>49</v>
      </c>
      <c r="M34" s="4" t="s">
        <v>60</v>
      </c>
      <c r="N34" s="4"/>
      <c r="O34" s="4" t="s">
        <v>49</v>
      </c>
      <c r="P34" s="4"/>
      <c r="Q34" s="4"/>
      <c r="R34" s="4"/>
      <c r="S34" s="4"/>
      <c r="T34" s="4"/>
      <c r="U34" s="4" t="s">
        <v>49</v>
      </c>
      <c r="V34" s="4" t="s">
        <v>49</v>
      </c>
      <c r="W34" s="4"/>
      <c r="X34" s="4" t="s">
        <v>49</v>
      </c>
      <c r="Y34" s="4"/>
      <c r="Z34" s="4"/>
      <c r="AA34" s="4" t="s">
        <v>49</v>
      </c>
      <c r="AB34" s="19" t="s">
        <v>60</v>
      </c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</row>
    <row r="35" spans="1:72" x14ac:dyDescent="0.3">
      <c r="A35" s="8" t="s">
        <v>47</v>
      </c>
      <c r="B35" s="37"/>
      <c r="C35" s="5"/>
      <c r="D35" s="5"/>
      <c r="E35" s="5"/>
      <c r="F35" s="5"/>
      <c r="G35" s="5" t="s">
        <v>49</v>
      </c>
      <c r="H35" s="5"/>
      <c r="I35" s="5" t="s">
        <v>49</v>
      </c>
      <c r="J35" s="5" t="s">
        <v>61</v>
      </c>
      <c r="K35" s="5" t="s">
        <v>61</v>
      </c>
      <c r="L35" s="5" t="s">
        <v>49</v>
      </c>
      <c r="M35" s="5"/>
      <c r="N35" s="5"/>
      <c r="O35" s="5" t="s">
        <v>61</v>
      </c>
      <c r="P35" s="5"/>
      <c r="Q35" s="5"/>
      <c r="R35" s="5"/>
      <c r="S35" s="5"/>
      <c r="T35" s="5"/>
      <c r="U35" s="5" t="s">
        <v>49</v>
      </c>
      <c r="V35" s="5"/>
      <c r="W35" s="5" t="s">
        <v>60</v>
      </c>
      <c r="X35" s="5" t="s">
        <v>49</v>
      </c>
      <c r="Y35" s="5"/>
      <c r="Z35" s="5"/>
      <c r="AA35" s="5"/>
      <c r="AB35" s="20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</row>
    <row r="36" spans="1:72" ht="15" thickBot="1" x14ac:dyDescent="0.35">
      <c r="A36" s="9" t="s">
        <v>48</v>
      </c>
      <c r="B36" s="38"/>
      <c r="C36" s="6"/>
      <c r="D36" s="6"/>
      <c r="E36" s="6"/>
      <c r="F36" s="6"/>
      <c r="G36" s="6"/>
      <c r="H36" s="6" t="s">
        <v>49</v>
      </c>
      <c r="I36" s="6"/>
      <c r="J36" s="6"/>
      <c r="K36" s="6"/>
      <c r="L36" s="6"/>
      <c r="M36" s="6" t="s">
        <v>61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109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</row>
    <row r="37" spans="1:72" x14ac:dyDescent="0.3">
      <c r="A37" s="7" t="s">
        <v>46</v>
      </c>
      <c r="B37" s="22" t="s">
        <v>43</v>
      </c>
      <c r="C37" s="4" t="s">
        <v>49</v>
      </c>
      <c r="D37" s="4" t="s">
        <v>61</v>
      </c>
      <c r="E37" s="4" t="s">
        <v>49</v>
      </c>
      <c r="F37" s="4"/>
      <c r="G37" s="4" t="s">
        <v>49</v>
      </c>
      <c r="H37" s="4"/>
      <c r="I37" s="4" t="s">
        <v>49</v>
      </c>
      <c r="J37" s="4" t="s">
        <v>49</v>
      </c>
      <c r="K37" s="4" t="s">
        <v>60</v>
      </c>
      <c r="L37" s="4" t="s">
        <v>49</v>
      </c>
      <c r="M37" s="4" t="s">
        <v>60</v>
      </c>
      <c r="N37" s="4" t="s">
        <v>49</v>
      </c>
      <c r="O37" s="4" t="s">
        <v>49</v>
      </c>
      <c r="P37" s="4"/>
      <c r="Q37" s="5" t="s">
        <v>60</v>
      </c>
      <c r="R37" s="5" t="s">
        <v>60</v>
      </c>
      <c r="S37" s="5" t="s">
        <v>60</v>
      </c>
      <c r="T37" s="5" t="s">
        <v>60</v>
      </c>
      <c r="U37" s="4" t="s">
        <v>49</v>
      </c>
      <c r="V37" s="4" t="s">
        <v>49</v>
      </c>
      <c r="W37" s="4"/>
      <c r="X37" s="4" t="s">
        <v>54</v>
      </c>
      <c r="Y37" s="4" t="s">
        <v>60</v>
      </c>
      <c r="Z37" s="4" t="s">
        <v>49</v>
      </c>
      <c r="AA37" s="4" t="s">
        <v>49</v>
      </c>
      <c r="AB37" s="19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</row>
    <row r="38" spans="1:72" x14ac:dyDescent="0.3">
      <c r="A38" s="8" t="s">
        <v>47</v>
      </c>
      <c r="B38" s="24"/>
      <c r="C38" s="5"/>
      <c r="D38" s="5"/>
      <c r="E38" s="5" t="s">
        <v>49</v>
      </c>
      <c r="F38" s="5"/>
      <c r="G38" s="5"/>
      <c r="H38" s="5"/>
      <c r="I38" s="5" t="s">
        <v>49</v>
      </c>
      <c r="J38" s="5"/>
      <c r="K38" s="5"/>
      <c r="L38" s="5" t="s">
        <v>49</v>
      </c>
      <c r="M38" s="5"/>
      <c r="N38" s="5" t="s">
        <v>61</v>
      </c>
      <c r="O38" s="5" t="s">
        <v>60</v>
      </c>
      <c r="P38" s="5" t="s">
        <v>61</v>
      </c>
      <c r="R38" s="5"/>
      <c r="S38" s="5"/>
      <c r="T38" s="5"/>
      <c r="U38" s="5"/>
      <c r="V38" s="5" t="s">
        <v>60</v>
      </c>
      <c r="W38" s="5"/>
      <c r="X38" s="5" t="s">
        <v>49</v>
      </c>
      <c r="Y38" s="5"/>
      <c r="Z38" s="5" t="s">
        <v>49</v>
      </c>
      <c r="AA38" s="5"/>
      <c r="AB38" s="20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</row>
    <row r="39" spans="1:72" ht="15" thickBot="1" x14ac:dyDescent="0.35">
      <c r="A39" s="9" t="s">
        <v>48</v>
      </c>
      <c r="B39" s="33"/>
      <c r="C39" s="6"/>
      <c r="D39" s="6"/>
      <c r="E39" s="6"/>
      <c r="F39" s="6" t="s">
        <v>49</v>
      </c>
      <c r="G39" s="6" t="s">
        <v>60</v>
      </c>
      <c r="H39" s="6" t="s">
        <v>49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109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</row>
    <row r="40" spans="1:72" x14ac:dyDescent="0.3">
      <c r="A40" s="7" t="s">
        <v>46</v>
      </c>
      <c r="B40" s="22" t="s">
        <v>44</v>
      </c>
      <c r="C40" s="4" t="s">
        <v>60</v>
      </c>
      <c r="D40" s="4"/>
      <c r="E40" s="4" t="s">
        <v>60</v>
      </c>
      <c r="F40" s="4"/>
      <c r="G40" s="4" t="s">
        <v>49</v>
      </c>
      <c r="H40" s="4"/>
      <c r="I40" s="4"/>
      <c r="J40" s="4" t="s">
        <v>60</v>
      </c>
      <c r="K40" s="4" t="s">
        <v>49</v>
      </c>
      <c r="L40" s="4" t="s">
        <v>49</v>
      </c>
      <c r="M40" s="4" t="s">
        <v>49</v>
      </c>
      <c r="N40" s="4"/>
      <c r="O40" s="4"/>
      <c r="P40" s="4" t="s">
        <v>52</v>
      </c>
      <c r="Q40" s="4"/>
      <c r="R40" s="4"/>
      <c r="S40" s="4"/>
      <c r="T40" s="4"/>
      <c r="U40" s="4"/>
      <c r="V40" s="4"/>
      <c r="W40" s="4" t="s">
        <v>49</v>
      </c>
      <c r="X40" s="4" t="s">
        <v>60</v>
      </c>
      <c r="Y40" s="4" t="s">
        <v>49</v>
      </c>
      <c r="Z40" s="4"/>
      <c r="AA40" s="4" t="s">
        <v>60</v>
      </c>
      <c r="AB40" s="19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</row>
    <row r="41" spans="1:72" x14ac:dyDescent="0.3">
      <c r="A41" s="8" t="s">
        <v>47</v>
      </c>
      <c r="B41" s="24"/>
      <c r="C41" s="5"/>
      <c r="D41" s="5"/>
      <c r="E41" s="5"/>
      <c r="F41" s="5" t="s">
        <v>60</v>
      </c>
      <c r="G41" s="5" t="s">
        <v>49</v>
      </c>
      <c r="H41" s="5" t="s">
        <v>60</v>
      </c>
      <c r="I41" s="5" t="s">
        <v>60</v>
      </c>
      <c r="J41" s="5"/>
      <c r="K41" s="5"/>
      <c r="L41" s="5" t="s">
        <v>49</v>
      </c>
      <c r="M41" s="5" t="s">
        <v>49</v>
      </c>
      <c r="N41" s="5" t="s">
        <v>60</v>
      </c>
      <c r="O41" s="5"/>
      <c r="P41" s="5" t="s">
        <v>52</v>
      </c>
      <c r="Q41" s="5" t="s">
        <v>61</v>
      </c>
      <c r="R41" s="5" t="s">
        <v>61</v>
      </c>
      <c r="S41" s="5" t="s">
        <v>61</v>
      </c>
      <c r="T41" s="5" t="s">
        <v>61</v>
      </c>
      <c r="U41" s="5" t="s">
        <v>60</v>
      </c>
      <c r="V41" s="5"/>
      <c r="W41" s="5"/>
      <c r="X41" s="5" t="s">
        <v>61</v>
      </c>
      <c r="Y41" s="5" t="s">
        <v>49</v>
      </c>
      <c r="Z41" s="5" t="s">
        <v>60</v>
      </c>
      <c r="AA41" s="5"/>
      <c r="AB41" s="20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</row>
    <row r="42" spans="1:72" ht="15" thickBot="1" x14ac:dyDescent="0.35">
      <c r="A42" s="9" t="s">
        <v>48</v>
      </c>
      <c r="B42" s="33"/>
      <c r="C42" s="6"/>
      <c r="D42" s="6" t="s">
        <v>49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 t="s">
        <v>49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09" t="s">
        <v>49</v>
      </c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</row>
    <row r="43" spans="1:72" x14ac:dyDescent="0.3">
      <c r="A43" s="7" t="s">
        <v>46</v>
      </c>
      <c r="B43" s="22" t="s">
        <v>45</v>
      </c>
      <c r="C43" s="4"/>
      <c r="D43" s="4" t="s">
        <v>49</v>
      </c>
      <c r="E43" s="4" t="s">
        <v>60</v>
      </c>
      <c r="F43" s="5"/>
      <c r="G43" s="4" t="s">
        <v>49</v>
      </c>
      <c r="H43" s="4"/>
      <c r="I43" s="4"/>
      <c r="J43" s="4" t="s">
        <v>60</v>
      </c>
      <c r="K43" s="4" t="s">
        <v>51</v>
      </c>
      <c r="L43" s="4" t="s">
        <v>62</v>
      </c>
      <c r="M43" s="4" t="s">
        <v>49</v>
      </c>
      <c r="N43" s="4"/>
      <c r="O43" s="10" t="s">
        <v>60</v>
      </c>
      <c r="P43" s="4" t="s">
        <v>59</v>
      </c>
      <c r="Q43" s="4"/>
      <c r="R43" s="10"/>
      <c r="S43" s="4"/>
      <c r="T43" s="4"/>
      <c r="U43" s="4"/>
      <c r="V43" s="4" t="s">
        <v>60</v>
      </c>
      <c r="W43" s="4" t="s">
        <v>56</v>
      </c>
      <c r="X43" s="4" t="s">
        <v>60</v>
      </c>
      <c r="Y43" s="4" t="s">
        <v>49</v>
      </c>
      <c r="Z43" s="4"/>
      <c r="AA43" s="4" t="s">
        <v>61</v>
      </c>
      <c r="AB43" s="110" t="s">
        <v>57</v>
      </c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</row>
    <row r="44" spans="1:72" x14ac:dyDescent="0.3">
      <c r="A44" s="8" t="s">
        <v>47</v>
      </c>
      <c r="B44" s="24"/>
      <c r="C44" s="5"/>
      <c r="D44" s="5"/>
      <c r="E44" s="5"/>
      <c r="F44" s="3" t="s">
        <v>60</v>
      </c>
      <c r="G44" s="5" t="s">
        <v>49</v>
      </c>
      <c r="H44" s="5" t="s">
        <v>60</v>
      </c>
      <c r="I44" s="5"/>
      <c r="J44" s="5"/>
      <c r="K44" s="5" t="s">
        <v>60</v>
      </c>
      <c r="L44" s="5" t="s">
        <v>61</v>
      </c>
      <c r="M44" s="5" t="s">
        <v>49</v>
      </c>
      <c r="N44" s="5"/>
      <c r="O44" s="5"/>
      <c r="P44" s="5"/>
      <c r="Q44" s="5"/>
      <c r="R44" s="5"/>
      <c r="S44" s="5"/>
      <c r="T44" s="5"/>
      <c r="U44" s="5" t="s">
        <v>61</v>
      </c>
      <c r="V44" s="5"/>
      <c r="W44" s="5" t="s">
        <v>52</v>
      </c>
      <c r="X44" s="5"/>
      <c r="Y44" s="5" t="s">
        <v>49</v>
      </c>
      <c r="Z44" s="5" t="s">
        <v>60</v>
      </c>
      <c r="AA44" s="5"/>
      <c r="AB44" s="20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</row>
    <row r="45" spans="1:72" ht="15" thickBot="1" x14ac:dyDescent="0.35">
      <c r="A45" s="9" t="s">
        <v>48</v>
      </c>
      <c r="B45" s="33"/>
      <c r="C45" s="6"/>
      <c r="D45" s="6" t="s">
        <v>49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12"/>
      <c r="P45" s="6"/>
      <c r="Q45" s="6"/>
      <c r="R45" s="6"/>
      <c r="S45" s="6"/>
      <c r="T45" s="6"/>
      <c r="U45" s="6"/>
      <c r="V45" s="6"/>
      <c r="W45" s="6"/>
      <c r="X45" s="6" t="s">
        <v>60</v>
      </c>
      <c r="Y45" s="6"/>
      <c r="Z45" s="6"/>
      <c r="AA45" s="6"/>
      <c r="AB45" s="109" t="s">
        <v>49</v>
      </c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</row>
    <row r="46" spans="1:72" x14ac:dyDescent="0.3">
      <c r="A46" s="21" t="s">
        <v>63</v>
      </c>
      <c r="B46" s="22"/>
      <c r="C46" s="10">
        <v>45992</v>
      </c>
      <c r="D46" s="10">
        <f>C46+7</f>
        <v>45999</v>
      </c>
      <c r="E46" s="10">
        <f t="shared" ref="E46:AB46" si="4">D46+7</f>
        <v>46006</v>
      </c>
      <c r="F46" s="10">
        <f t="shared" si="4"/>
        <v>46013</v>
      </c>
      <c r="G46" s="10">
        <f t="shared" si="4"/>
        <v>46020</v>
      </c>
      <c r="H46" s="10">
        <f t="shared" si="4"/>
        <v>46027</v>
      </c>
      <c r="I46" s="10">
        <f t="shared" si="4"/>
        <v>46034</v>
      </c>
      <c r="J46" s="10">
        <f t="shared" si="4"/>
        <v>46041</v>
      </c>
      <c r="K46" s="10">
        <f t="shared" si="4"/>
        <v>46048</v>
      </c>
      <c r="L46" s="10">
        <f t="shared" si="4"/>
        <v>46055</v>
      </c>
      <c r="M46" s="10">
        <f t="shared" si="4"/>
        <v>46062</v>
      </c>
      <c r="N46" s="10">
        <f t="shared" si="4"/>
        <v>46069</v>
      </c>
      <c r="O46" s="10">
        <f t="shared" si="4"/>
        <v>46076</v>
      </c>
      <c r="P46" s="10">
        <f t="shared" si="4"/>
        <v>46083</v>
      </c>
      <c r="Q46" s="10">
        <f t="shared" si="4"/>
        <v>46090</v>
      </c>
      <c r="R46" s="10">
        <f t="shared" si="4"/>
        <v>46097</v>
      </c>
      <c r="S46" s="10">
        <f t="shared" si="4"/>
        <v>46104</v>
      </c>
      <c r="T46" s="10">
        <f t="shared" si="4"/>
        <v>46111</v>
      </c>
      <c r="U46" s="10">
        <f t="shared" si="4"/>
        <v>46118</v>
      </c>
      <c r="V46" s="10">
        <f t="shared" si="4"/>
        <v>46125</v>
      </c>
      <c r="W46" s="10">
        <f t="shared" si="4"/>
        <v>46132</v>
      </c>
      <c r="X46" s="10">
        <f t="shared" si="4"/>
        <v>46139</v>
      </c>
      <c r="Y46" s="10">
        <f t="shared" si="4"/>
        <v>46146</v>
      </c>
      <c r="Z46" s="10">
        <f t="shared" si="4"/>
        <v>46153</v>
      </c>
      <c r="AA46" s="10">
        <f t="shared" si="4"/>
        <v>46160</v>
      </c>
      <c r="AB46" s="96">
        <f t="shared" si="4"/>
        <v>46167</v>
      </c>
      <c r="AC46" s="111">
        <f>AB46+7</f>
        <v>46174</v>
      </c>
      <c r="AD46" s="111">
        <f>AC46+7</f>
        <v>46181</v>
      </c>
      <c r="AE46" s="111">
        <f>AD46+7</f>
        <v>46188</v>
      </c>
      <c r="AF46" s="111">
        <f>AE46+7</f>
        <v>46195</v>
      </c>
      <c r="AG46" s="112">
        <f>AF46+7</f>
        <v>46202</v>
      </c>
      <c r="AH46" s="113">
        <f>AG46+7</f>
        <v>46209</v>
      </c>
      <c r="AI46" s="114">
        <f>AH46+7</f>
        <v>46216</v>
      </c>
      <c r="AJ46" s="111">
        <f>AI46+7</f>
        <v>46223</v>
      </c>
      <c r="AK46" s="112">
        <f>AJ46+7</f>
        <v>46230</v>
      </c>
      <c r="AL46" s="113">
        <f>AK46+7</f>
        <v>46237</v>
      </c>
      <c r="AM46" s="114">
        <f>AL46+7</f>
        <v>46244</v>
      </c>
      <c r="AN46" s="111">
        <f>AM46+7</f>
        <v>46251</v>
      </c>
      <c r="AO46" s="111">
        <f>AN46+7</f>
        <v>46258</v>
      </c>
      <c r="AP46" s="112">
        <f>AO46+7</f>
        <v>46265</v>
      </c>
      <c r="AQ46" s="113">
        <f>AP46+7</f>
        <v>46272</v>
      </c>
      <c r="AR46" s="114">
        <f>AQ46+7</f>
        <v>46279</v>
      </c>
      <c r="AS46" s="111">
        <f>AR46+7</f>
        <v>46286</v>
      </c>
      <c r="AT46" s="112">
        <f>AS46+7</f>
        <v>46293</v>
      </c>
      <c r="AU46" s="113">
        <f>AT46+7</f>
        <v>46300</v>
      </c>
      <c r="AV46" s="114">
        <f>AU46+7</f>
        <v>46307</v>
      </c>
      <c r="AW46" s="111">
        <f>AV46+7</f>
        <v>46314</v>
      </c>
      <c r="AX46" s="112">
        <f>AW46+7</f>
        <v>46321</v>
      </c>
      <c r="AY46" s="113">
        <f>AX46+7</f>
        <v>46328</v>
      </c>
      <c r="AZ46" s="114">
        <f>AY46+7</f>
        <v>46335</v>
      </c>
      <c r="BA46" s="111">
        <f>AZ46+7</f>
        <v>46342</v>
      </c>
      <c r="BB46" s="111">
        <f>BA46+7</f>
        <v>46349</v>
      </c>
      <c r="BC46" s="112">
        <f>BB46+7</f>
        <v>46356</v>
      </c>
      <c r="BD46" s="113">
        <f>BC46+7</f>
        <v>46363</v>
      </c>
      <c r="BE46" s="114">
        <f>BD46+7</f>
        <v>46370</v>
      </c>
      <c r="BF46" s="111">
        <f>BE46+7</f>
        <v>46377</v>
      </c>
      <c r="BG46" s="112">
        <f>BF46+7</f>
        <v>46384</v>
      </c>
      <c r="BH46" s="113">
        <f>BG46+7</f>
        <v>46391</v>
      </c>
      <c r="BI46" s="114">
        <f>BH46+7</f>
        <v>46398</v>
      </c>
      <c r="BJ46" s="111">
        <f>BI46+7</f>
        <v>46405</v>
      </c>
      <c r="BK46" s="112">
        <f>BJ46+7</f>
        <v>46412</v>
      </c>
      <c r="BL46" s="113">
        <f>BK46+7</f>
        <v>46419</v>
      </c>
      <c r="BM46" s="114">
        <f>BL46+7</f>
        <v>46426</v>
      </c>
      <c r="BN46" s="111">
        <f>BM46+7</f>
        <v>46433</v>
      </c>
      <c r="BO46" s="112">
        <f>BN46+7</f>
        <v>46440</v>
      </c>
      <c r="BP46" s="113">
        <f>BO46+7</f>
        <v>46447</v>
      </c>
      <c r="BQ46" s="114">
        <f>BP46+7</f>
        <v>46454</v>
      </c>
      <c r="BR46" s="111">
        <f>BQ46+7</f>
        <v>46461</v>
      </c>
      <c r="BS46" s="111">
        <f>BR46+7</f>
        <v>46468</v>
      </c>
      <c r="BT46" s="111">
        <f>BS46+7</f>
        <v>46475</v>
      </c>
    </row>
    <row r="47" spans="1:72" x14ac:dyDescent="0.3">
      <c r="A47" s="23"/>
      <c r="B47" s="24"/>
      <c r="C47" s="13">
        <f>C46+6</f>
        <v>45998</v>
      </c>
      <c r="D47" s="13">
        <f t="shared" ref="D47:AA47" si="5">D46+6</f>
        <v>46005</v>
      </c>
      <c r="E47" s="13">
        <f t="shared" si="5"/>
        <v>46012</v>
      </c>
      <c r="F47" s="13">
        <f t="shared" si="5"/>
        <v>46019</v>
      </c>
      <c r="G47" s="13">
        <f t="shared" si="5"/>
        <v>46026</v>
      </c>
      <c r="H47" s="13">
        <f t="shared" si="5"/>
        <v>46033</v>
      </c>
      <c r="I47" s="13">
        <f t="shared" si="5"/>
        <v>46040</v>
      </c>
      <c r="J47" s="13">
        <f t="shared" si="5"/>
        <v>46047</v>
      </c>
      <c r="K47" s="13">
        <f t="shared" si="5"/>
        <v>46054</v>
      </c>
      <c r="L47" s="13">
        <f t="shared" si="5"/>
        <v>46061</v>
      </c>
      <c r="M47" s="13">
        <f t="shared" si="5"/>
        <v>46068</v>
      </c>
      <c r="N47" s="13">
        <f t="shared" si="5"/>
        <v>46075</v>
      </c>
      <c r="O47" s="13">
        <f t="shared" si="5"/>
        <v>46082</v>
      </c>
      <c r="P47" s="13">
        <f t="shared" si="5"/>
        <v>46089</v>
      </c>
      <c r="Q47" s="13">
        <f t="shared" si="5"/>
        <v>46096</v>
      </c>
      <c r="R47" s="13">
        <f t="shared" si="5"/>
        <v>46103</v>
      </c>
      <c r="S47" s="13">
        <f t="shared" si="5"/>
        <v>46110</v>
      </c>
      <c r="T47" s="13">
        <f t="shared" si="5"/>
        <v>46117</v>
      </c>
      <c r="U47" s="13">
        <f t="shared" si="5"/>
        <v>46124</v>
      </c>
      <c r="V47" s="13">
        <f t="shared" si="5"/>
        <v>46131</v>
      </c>
      <c r="W47" s="13">
        <f t="shared" si="5"/>
        <v>46138</v>
      </c>
      <c r="X47" s="13">
        <f t="shared" si="5"/>
        <v>46145</v>
      </c>
      <c r="Y47" s="13">
        <f t="shared" si="5"/>
        <v>46152</v>
      </c>
      <c r="Z47" s="13">
        <f t="shared" si="5"/>
        <v>46159</v>
      </c>
      <c r="AA47" s="13">
        <f t="shared" si="5"/>
        <v>46166</v>
      </c>
      <c r="AB47" s="97">
        <f>AB46+6</f>
        <v>46173</v>
      </c>
      <c r="AC47" s="105">
        <f>AC46+6</f>
        <v>46180</v>
      </c>
      <c r="AD47" s="105">
        <f>AD46+6</f>
        <v>46187</v>
      </c>
      <c r="AE47" s="105">
        <f>AE46+6</f>
        <v>46194</v>
      </c>
      <c r="AF47" s="105">
        <f>AF46+6</f>
        <v>46201</v>
      </c>
      <c r="AG47" s="106">
        <f>AG46+6</f>
        <v>46208</v>
      </c>
      <c r="AH47" s="107">
        <f>AH46+6</f>
        <v>46215</v>
      </c>
      <c r="AI47" s="108">
        <f>AI46+6</f>
        <v>46222</v>
      </c>
      <c r="AJ47" s="105">
        <f>AJ46+6</f>
        <v>46229</v>
      </c>
      <c r="AK47" s="106">
        <f>AK46+6</f>
        <v>46236</v>
      </c>
      <c r="AL47" s="107">
        <f>AL46+6</f>
        <v>46243</v>
      </c>
      <c r="AM47" s="108">
        <f>AM46+6</f>
        <v>46250</v>
      </c>
      <c r="AN47" s="105">
        <f>AN46+6</f>
        <v>46257</v>
      </c>
      <c r="AO47" s="105">
        <f>AO46+6</f>
        <v>46264</v>
      </c>
      <c r="AP47" s="106">
        <f>AP46+6</f>
        <v>46271</v>
      </c>
      <c r="AQ47" s="107">
        <f>AQ46+6</f>
        <v>46278</v>
      </c>
      <c r="AR47" s="108">
        <f>AR46+6</f>
        <v>46285</v>
      </c>
      <c r="AS47" s="105">
        <f>AS46+6</f>
        <v>46292</v>
      </c>
      <c r="AT47" s="106">
        <f>AT46+6</f>
        <v>46299</v>
      </c>
      <c r="AU47" s="107">
        <f>AU46+6</f>
        <v>46306</v>
      </c>
      <c r="AV47" s="108">
        <f>AV46+6</f>
        <v>46313</v>
      </c>
      <c r="AW47" s="105">
        <f>AW46+6</f>
        <v>46320</v>
      </c>
      <c r="AX47" s="106">
        <f>AX46+6</f>
        <v>46327</v>
      </c>
      <c r="AY47" s="107">
        <f>AY46+6</f>
        <v>46334</v>
      </c>
      <c r="AZ47" s="108">
        <f>AZ46+6</f>
        <v>46341</v>
      </c>
      <c r="BA47" s="105">
        <f>BA46+6</f>
        <v>46348</v>
      </c>
      <c r="BB47" s="105">
        <f>BB46+6</f>
        <v>46355</v>
      </c>
      <c r="BC47" s="106">
        <f>BC46+6</f>
        <v>46362</v>
      </c>
      <c r="BD47" s="107">
        <f>BD46+6</f>
        <v>46369</v>
      </c>
      <c r="BE47" s="108">
        <f>BE46+6</f>
        <v>46376</v>
      </c>
      <c r="BF47" s="105">
        <f>BF46+6</f>
        <v>46383</v>
      </c>
      <c r="BG47" s="106">
        <f>BG46+6</f>
        <v>46390</v>
      </c>
      <c r="BH47" s="107">
        <f>BH46+6</f>
        <v>46397</v>
      </c>
      <c r="BI47" s="108">
        <f>BI46+6</f>
        <v>46404</v>
      </c>
      <c r="BJ47" s="105">
        <f>BJ46+6</f>
        <v>46411</v>
      </c>
      <c r="BK47" s="106">
        <f>BK46+6</f>
        <v>46418</v>
      </c>
      <c r="BL47" s="107">
        <f>BL46+6</f>
        <v>46425</v>
      </c>
      <c r="BM47" s="108">
        <f>BM46+6</f>
        <v>46432</v>
      </c>
      <c r="BN47" s="105">
        <f>BN46+6</f>
        <v>46439</v>
      </c>
      <c r="BO47" s="106">
        <f>BO46+6</f>
        <v>46446</v>
      </c>
      <c r="BP47" s="107">
        <f>BP46+6</f>
        <v>46453</v>
      </c>
      <c r="BQ47" s="108">
        <f>BQ46+6</f>
        <v>46460</v>
      </c>
      <c r="BR47" s="105">
        <f>BR46+6</f>
        <v>46467</v>
      </c>
      <c r="BS47" s="105">
        <f>BS46+6</f>
        <v>46474</v>
      </c>
      <c r="BT47" s="105">
        <f>BT46+6</f>
        <v>46481</v>
      </c>
    </row>
    <row r="48" spans="1:72" x14ac:dyDescent="0.3">
      <c r="A48" s="46" t="s">
        <v>6</v>
      </c>
      <c r="B48" s="46"/>
      <c r="C48" s="90">
        <f>_xlfn.ISOWEEKNUM(C46)</f>
        <v>49</v>
      </c>
      <c r="D48" s="90">
        <f>_xlfn.ISOWEEKNUM(D46)</f>
        <v>50</v>
      </c>
      <c r="E48" s="90">
        <f>_xlfn.ISOWEEKNUM(E46)</f>
        <v>51</v>
      </c>
      <c r="F48" s="90">
        <f>_xlfn.ISOWEEKNUM(F46)</f>
        <v>52</v>
      </c>
      <c r="G48" s="90">
        <f>_xlfn.ISOWEEKNUM(G46)</f>
        <v>1</v>
      </c>
      <c r="H48" s="90">
        <f>_xlfn.ISOWEEKNUM(H46)</f>
        <v>2</v>
      </c>
      <c r="I48" s="90">
        <f>_xlfn.ISOWEEKNUM(I46)</f>
        <v>3</v>
      </c>
      <c r="J48" s="90">
        <f>_xlfn.ISOWEEKNUM(J46)</f>
        <v>4</v>
      </c>
      <c r="K48" s="90">
        <f>_xlfn.ISOWEEKNUM(K46)</f>
        <v>5</v>
      </c>
      <c r="L48" s="90">
        <f>_xlfn.ISOWEEKNUM(L46)</f>
        <v>6</v>
      </c>
      <c r="M48" s="90">
        <f>_xlfn.ISOWEEKNUM(M46)</f>
        <v>7</v>
      </c>
      <c r="N48" s="90">
        <f>_xlfn.ISOWEEKNUM(N46)</f>
        <v>8</v>
      </c>
      <c r="O48" s="90">
        <f>_xlfn.ISOWEEKNUM(O46)</f>
        <v>9</v>
      </c>
      <c r="P48" s="90">
        <f>_xlfn.ISOWEEKNUM(P46)</f>
        <v>10</v>
      </c>
      <c r="Q48" s="90">
        <f>_xlfn.ISOWEEKNUM(Q46)</f>
        <v>11</v>
      </c>
      <c r="R48" s="90">
        <f>_xlfn.ISOWEEKNUM(R46)</f>
        <v>12</v>
      </c>
      <c r="S48" s="90">
        <f>_xlfn.ISOWEEKNUM(S46)</f>
        <v>13</v>
      </c>
      <c r="T48" s="90">
        <f>_xlfn.ISOWEEKNUM(T46)</f>
        <v>14</v>
      </c>
      <c r="U48" s="90">
        <f>_xlfn.ISOWEEKNUM(U46)</f>
        <v>15</v>
      </c>
      <c r="V48" s="90">
        <f>_xlfn.ISOWEEKNUM(V46)</f>
        <v>16</v>
      </c>
      <c r="W48" s="90">
        <f>_xlfn.ISOWEEKNUM(W46)</f>
        <v>17</v>
      </c>
      <c r="X48" s="90">
        <f>_xlfn.ISOWEEKNUM(X46)</f>
        <v>18</v>
      </c>
      <c r="Y48" s="90">
        <f>_xlfn.ISOWEEKNUM(Y46)</f>
        <v>19</v>
      </c>
      <c r="Z48" s="90">
        <f>_xlfn.ISOWEEKNUM(Z46)</f>
        <v>20</v>
      </c>
      <c r="AA48" s="70">
        <f>_xlfn.ISOWEEKNUM(AA46)</f>
        <v>21</v>
      </c>
      <c r="AB48" s="25">
        <f>_xlfn.ISOWEEKNUM(AB46)</f>
        <v>22</v>
      </c>
      <c r="AC48" s="98">
        <f>_xlfn.ISOWEEKNUM(AC46)</f>
        <v>23</v>
      </c>
      <c r="AD48" s="98">
        <f>_xlfn.ISOWEEKNUM(AD46)</f>
        <v>24</v>
      </c>
      <c r="AE48" s="98">
        <f>_xlfn.ISOWEEKNUM(AE46)</f>
        <v>25</v>
      </c>
      <c r="AF48" s="98">
        <f>_xlfn.ISOWEEKNUM(AF46)</f>
        <v>26</v>
      </c>
      <c r="AG48" s="98">
        <f>_xlfn.ISOWEEKNUM(AG46)</f>
        <v>27</v>
      </c>
      <c r="AH48" s="99">
        <f>_xlfn.ISOWEEKNUM(AH46)</f>
        <v>28</v>
      </c>
      <c r="AI48" s="98">
        <f>_xlfn.ISOWEEKNUM(AI46)</f>
        <v>29</v>
      </c>
      <c r="AJ48" s="98">
        <f>_xlfn.ISOWEEKNUM(AJ46)</f>
        <v>30</v>
      </c>
      <c r="AK48" s="98">
        <f>_xlfn.ISOWEEKNUM(AK46)</f>
        <v>31</v>
      </c>
      <c r="AL48" s="99">
        <f>_xlfn.ISOWEEKNUM(AL46)</f>
        <v>32</v>
      </c>
      <c r="AM48" s="98">
        <f>_xlfn.ISOWEEKNUM(AM46)</f>
        <v>33</v>
      </c>
      <c r="AN48" s="98">
        <f>_xlfn.ISOWEEKNUM(AN46)</f>
        <v>34</v>
      </c>
      <c r="AO48" s="98">
        <f>_xlfn.ISOWEEKNUM(AO46)</f>
        <v>35</v>
      </c>
      <c r="AP48" s="98">
        <f>_xlfn.ISOWEEKNUM(AP46)</f>
        <v>36</v>
      </c>
      <c r="AQ48" s="99">
        <f>_xlfn.ISOWEEKNUM(AQ46)</f>
        <v>37</v>
      </c>
      <c r="AR48" s="98">
        <f>_xlfn.ISOWEEKNUM(AR46)</f>
        <v>38</v>
      </c>
      <c r="AS48" s="98">
        <f>_xlfn.ISOWEEKNUM(AS46)</f>
        <v>39</v>
      </c>
      <c r="AT48" s="98">
        <f>_xlfn.ISOWEEKNUM(AT46)</f>
        <v>40</v>
      </c>
      <c r="AU48" s="99">
        <f>_xlfn.ISOWEEKNUM(AU46)</f>
        <v>41</v>
      </c>
      <c r="AV48" s="98">
        <f>_xlfn.ISOWEEKNUM(AV46)</f>
        <v>42</v>
      </c>
      <c r="AW48" s="98">
        <f>_xlfn.ISOWEEKNUM(AW46)</f>
        <v>43</v>
      </c>
      <c r="AX48" s="98">
        <f>_xlfn.ISOWEEKNUM(AX46)</f>
        <v>44</v>
      </c>
      <c r="AY48" s="99">
        <f>_xlfn.ISOWEEKNUM(AY46)</f>
        <v>45</v>
      </c>
      <c r="AZ48" s="98">
        <f>_xlfn.ISOWEEKNUM(AZ46)</f>
        <v>46</v>
      </c>
      <c r="BA48" s="98">
        <f>_xlfn.ISOWEEKNUM(BA46)</f>
        <v>47</v>
      </c>
      <c r="BB48" s="98">
        <f>_xlfn.ISOWEEKNUM(BB46)</f>
        <v>48</v>
      </c>
      <c r="BC48" s="98">
        <f>_xlfn.ISOWEEKNUM(BC46)</f>
        <v>49</v>
      </c>
      <c r="BD48" s="99">
        <f>_xlfn.ISOWEEKNUM(BD46)</f>
        <v>50</v>
      </c>
      <c r="BE48" s="98">
        <f>_xlfn.ISOWEEKNUM(BE46)</f>
        <v>51</v>
      </c>
      <c r="BF48" s="98">
        <f>_xlfn.ISOWEEKNUM(BF46)</f>
        <v>52</v>
      </c>
      <c r="BG48" s="98">
        <f>_xlfn.ISOWEEKNUM(BG46)</f>
        <v>53</v>
      </c>
      <c r="BH48" s="99">
        <f>_xlfn.ISOWEEKNUM(BH46)</f>
        <v>1</v>
      </c>
      <c r="BI48" s="98">
        <f>_xlfn.ISOWEEKNUM(BI46)</f>
        <v>2</v>
      </c>
      <c r="BJ48" s="98">
        <f>_xlfn.ISOWEEKNUM(BJ46)</f>
        <v>3</v>
      </c>
      <c r="BK48" s="98">
        <f>_xlfn.ISOWEEKNUM(BK46)</f>
        <v>4</v>
      </c>
      <c r="BL48" s="99">
        <f>_xlfn.ISOWEEKNUM(BL46)</f>
        <v>5</v>
      </c>
      <c r="BM48" s="98">
        <f>_xlfn.ISOWEEKNUM(BM46)</f>
        <v>6</v>
      </c>
      <c r="BN48" s="98">
        <f>_xlfn.ISOWEEKNUM(BN46)</f>
        <v>7</v>
      </c>
      <c r="BO48" s="98">
        <f>_xlfn.ISOWEEKNUM(BO46)</f>
        <v>8</v>
      </c>
      <c r="BP48" s="99">
        <f>_xlfn.ISOWEEKNUM(BP46)</f>
        <v>9</v>
      </c>
      <c r="BQ48" s="98">
        <f>_xlfn.ISOWEEKNUM(BQ46)</f>
        <v>10</v>
      </c>
      <c r="BR48" s="98">
        <f>_xlfn.ISOWEEKNUM(BR46)</f>
        <v>11</v>
      </c>
      <c r="BS48" s="98">
        <f>_xlfn.ISOWEEKNUM(BS46)</f>
        <v>12</v>
      </c>
      <c r="BT48" s="98">
        <f>_xlfn.ISOWEEKNUM(BT46)</f>
        <v>13</v>
      </c>
    </row>
    <row r="49" spans="1:28" x14ac:dyDescent="0.3">
      <c r="A49" s="46"/>
      <c r="B49" s="46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2"/>
      <c r="AB49" s="92"/>
    </row>
  </sheetData>
  <mergeCells count="642">
    <mergeCell ref="BL23:BL24"/>
    <mergeCell ref="BM23:BM24"/>
    <mergeCell ref="BN23:BN24"/>
    <mergeCell ref="BO23:BO24"/>
    <mergeCell ref="BP23:BP24"/>
    <mergeCell ref="BQ23:BQ24"/>
    <mergeCell ref="BR23:BR24"/>
    <mergeCell ref="BS23:BS24"/>
    <mergeCell ref="BC23:BC24"/>
    <mergeCell ref="BD23:BD24"/>
    <mergeCell ref="BE23:BE24"/>
    <mergeCell ref="BF23:BF24"/>
    <mergeCell ref="BG23:BG24"/>
    <mergeCell ref="BH23:BH24"/>
    <mergeCell ref="BI23:BI24"/>
    <mergeCell ref="BJ23:BJ24"/>
    <mergeCell ref="BK23:BK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B23:BB24"/>
    <mergeCell ref="BM21:BM22"/>
    <mergeCell ref="BN21:BN22"/>
    <mergeCell ref="BO21:BO22"/>
    <mergeCell ref="BP21:BP22"/>
    <mergeCell ref="BQ21:BQ22"/>
    <mergeCell ref="BR21:BR22"/>
    <mergeCell ref="BS21:BS22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AP23:AP24"/>
    <mergeCell ref="AQ23:AQ24"/>
    <mergeCell ref="AR23:AR24"/>
    <mergeCell ref="AS23:AS24"/>
    <mergeCell ref="BD21:BD22"/>
    <mergeCell ref="BE21:BE22"/>
    <mergeCell ref="BF21:BF22"/>
    <mergeCell ref="BG21:BG22"/>
    <mergeCell ref="BH21:BH22"/>
    <mergeCell ref="BI21:BI22"/>
    <mergeCell ref="BJ21:BJ22"/>
    <mergeCell ref="BK21:BK22"/>
    <mergeCell ref="BL21:BL22"/>
    <mergeCell ref="AU21:AU22"/>
    <mergeCell ref="AV21:AV22"/>
    <mergeCell ref="AW21:AW22"/>
    <mergeCell ref="AX21:AX22"/>
    <mergeCell ref="AY21:AY22"/>
    <mergeCell ref="AZ21:AZ22"/>
    <mergeCell ref="BA21:BA22"/>
    <mergeCell ref="BB21:BB22"/>
    <mergeCell ref="BC21:BC22"/>
    <mergeCell ref="AL21:AL22"/>
    <mergeCell ref="AM21:AM22"/>
    <mergeCell ref="AN21:AN22"/>
    <mergeCell ref="AO21:AO22"/>
    <mergeCell ref="AP21:AP22"/>
    <mergeCell ref="AQ21:AQ22"/>
    <mergeCell ref="AR21:AR22"/>
    <mergeCell ref="AS21:AS22"/>
    <mergeCell ref="AT21:AT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BK19:BK20"/>
    <mergeCell ref="BL19:BL20"/>
    <mergeCell ref="BM19:BM20"/>
    <mergeCell ref="BN19:BN20"/>
    <mergeCell ref="BO19:BO20"/>
    <mergeCell ref="BP19:BP20"/>
    <mergeCell ref="BQ19:BQ20"/>
    <mergeCell ref="BR19:BR20"/>
    <mergeCell ref="BS19:BS20"/>
    <mergeCell ref="BB19:BB20"/>
    <mergeCell ref="BC19:BC20"/>
    <mergeCell ref="BD19:BD20"/>
    <mergeCell ref="BE19:BE20"/>
    <mergeCell ref="BF19:BF20"/>
    <mergeCell ref="BG19:BG20"/>
    <mergeCell ref="BH19:BH20"/>
    <mergeCell ref="BI19:BI20"/>
    <mergeCell ref="BJ19:BJ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A19:BA20"/>
    <mergeCell ref="BP17:BP18"/>
    <mergeCell ref="BQ17:BQ18"/>
    <mergeCell ref="BR17:BR18"/>
    <mergeCell ref="BS17:BS18"/>
    <mergeCell ref="BT17:BT18"/>
    <mergeCell ref="BT19:BT20"/>
    <mergeCell ref="BT21:BT22"/>
    <mergeCell ref="BT23:BT24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R20"/>
    <mergeCell ref="BG17:BG18"/>
    <mergeCell ref="BH17:BH18"/>
    <mergeCell ref="BI17:BI18"/>
    <mergeCell ref="BJ17:BJ18"/>
    <mergeCell ref="BK17:BK18"/>
    <mergeCell ref="BL17:BL18"/>
    <mergeCell ref="BM17:BM18"/>
    <mergeCell ref="BN17:BN18"/>
    <mergeCell ref="BO17:BO18"/>
    <mergeCell ref="AX17:AX18"/>
    <mergeCell ref="AY17:AY18"/>
    <mergeCell ref="AZ17:AZ18"/>
    <mergeCell ref="BA17:BA18"/>
    <mergeCell ref="BB17:BB18"/>
    <mergeCell ref="BC17:BC18"/>
    <mergeCell ref="BD17:BD18"/>
    <mergeCell ref="BE17:BE18"/>
    <mergeCell ref="BF17:BF18"/>
    <mergeCell ref="BR15:BR16"/>
    <mergeCell ref="BS15:BS16"/>
    <mergeCell ref="BT15:BT16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BI15:BI16"/>
    <mergeCell ref="BJ15:BJ16"/>
    <mergeCell ref="BK15:BK16"/>
    <mergeCell ref="BL15:BL16"/>
    <mergeCell ref="BM15:BM16"/>
    <mergeCell ref="BN15:BN16"/>
    <mergeCell ref="BO15:BO16"/>
    <mergeCell ref="BP15:BP16"/>
    <mergeCell ref="BQ15:BQ16"/>
    <mergeCell ref="AZ15:AZ16"/>
    <mergeCell ref="BA15:BA16"/>
    <mergeCell ref="BB15:BB16"/>
    <mergeCell ref="BC15:BC16"/>
    <mergeCell ref="BD15:BD16"/>
    <mergeCell ref="BE15:BE16"/>
    <mergeCell ref="BF15:BF16"/>
    <mergeCell ref="BG15:BG16"/>
    <mergeCell ref="BH15:BH16"/>
    <mergeCell ref="BT13:BT14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BK13:BK14"/>
    <mergeCell ref="BL13:BL14"/>
    <mergeCell ref="BM13:BM14"/>
    <mergeCell ref="BN13:BN14"/>
    <mergeCell ref="BO13:BO14"/>
    <mergeCell ref="BP13:BP14"/>
    <mergeCell ref="BQ13:BQ14"/>
    <mergeCell ref="BR13:BR14"/>
    <mergeCell ref="BS13:BS14"/>
    <mergeCell ref="BB13:BB14"/>
    <mergeCell ref="BC13:BC14"/>
    <mergeCell ref="BD13:BD14"/>
    <mergeCell ref="BE13:BE14"/>
    <mergeCell ref="BF13:BF14"/>
    <mergeCell ref="BG13:BG14"/>
    <mergeCell ref="BH13:BH14"/>
    <mergeCell ref="BI13:BI14"/>
    <mergeCell ref="BJ13:BJ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M11:BM12"/>
    <mergeCell ref="BN11:BN12"/>
    <mergeCell ref="BO11:BO12"/>
    <mergeCell ref="BP11:BP12"/>
    <mergeCell ref="BQ11:BQ12"/>
    <mergeCell ref="BR11:BR12"/>
    <mergeCell ref="BS11:BS12"/>
    <mergeCell ref="BT11:BT12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BD11:BD12"/>
    <mergeCell ref="BE11:BE12"/>
    <mergeCell ref="BF11:BF12"/>
    <mergeCell ref="BG11:BG12"/>
    <mergeCell ref="BH11:BH12"/>
    <mergeCell ref="BI11:BI12"/>
    <mergeCell ref="BJ11:BJ12"/>
    <mergeCell ref="BK11:BK12"/>
    <mergeCell ref="BL11:BL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BL7:BL8"/>
    <mergeCell ref="BM7:BM8"/>
    <mergeCell ref="BN7:BN8"/>
    <mergeCell ref="BO7:BO8"/>
    <mergeCell ref="BP7:BP8"/>
    <mergeCell ref="BQ7:BQ8"/>
    <mergeCell ref="BR7:BR8"/>
    <mergeCell ref="BS7:BS8"/>
    <mergeCell ref="BT7:BT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BN5:BN6"/>
    <mergeCell ref="BO5:BO6"/>
    <mergeCell ref="BP5:BP6"/>
    <mergeCell ref="BQ5:BQ6"/>
    <mergeCell ref="BR5:BR6"/>
    <mergeCell ref="BS5:BS6"/>
    <mergeCell ref="BT5:BT6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P3:BP4"/>
    <mergeCell ref="BQ3:BQ4"/>
    <mergeCell ref="BR3:BR4"/>
    <mergeCell ref="BS3:BS4"/>
    <mergeCell ref="BT3:BT4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R9:BR10"/>
    <mergeCell ref="BS9:BS10"/>
    <mergeCell ref="BT9:BT10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BI9:BI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P1:BT1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C1:AG1"/>
    <mergeCell ref="AH1:AK1"/>
    <mergeCell ref="AL1:AP1"/>
    <mergeCell ref="AQ1:AT1"/>
    <mergeCell ref="AU1:AX1"/>
    <mergeCell ref="AY1:BC1"/>
    <mergeCell ref="BD1:BG1"/>
    <mergeCell ref="BH1:BK1"/>
    <mergeCell ref="BL1:BO1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A48:B49"/>
    <mergeCell ref="C48:C49"/>
    <mergeCell ref="D48:D49"/>
    <mergeCell ref="E48:E49"/>
    <mergeCell ref="F48:F49"/>
    <mergeCell ref="G48:G49"/>
    <mergeCell ref="H48:H49"/>
    <mergeCell ref="I48:I49"/>
    <mergeCell ref="J48:J49"/>
    <mergeCell ref="Z5:AA6"/>
    <mergeCell ref="AB5:AB6"/>
    <mergeCell ref="B5:B6"/>
    <mergeCell ref="C5:H6"/>
    <mergeCell ref="I5:N6"/>
    <mergeCell ref="S1:V1"/>
    <mergeCell ref="B3:B4"/>
    <mergeCell ref="C1:F1"/>
    <mergeCell ref="G1:J1"/>
    <mergeCell ref="K1:N1"/>
    <mergeCell ref="O1:R1"/>
    <mergeCell ref="W1:AB1"/>
    <mergeCell ref="S7:S8"/>
    <mergeCell ref="M7:M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N9:N10"/>
    <mergeCell ref="O9:O10"/>
    <mergeCell ref="P9:P10"/>
    <mergeCell ref="AB7:AB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T7:T8"/>
    <mergeCell ref="U7:U8"/>
    <mergeCell ref="V7:V8"/>
    <mergeCell ref="W7:W8"/>
    <mergeCell ref="Z7:Z8"/>
    <mergeCell ref="AA7:AA8"/>
    <mergeCell ref="N7:N8"/>
    <mergeCell ref="O7:O8"/>
    <mergeCell ref="P7:P8"/>
    <mergeCell ref="Q7:Q8"/>
    <mergeCell ref="R7:R8"/>
    <mergeCell ref="B17:B18"/>
    <mergeCell ref="B19:B20"/>
    <mergeCell ref="A3:A12"/>
    <mergeCell ref="Z11:AA12"/>
    <mergeCell ref="AB11:AB12"/>
    <mergeCell ref="B13:B14"/>
    <mergeCell ref="W9:W10"/>
    <mergeCell ref="X9:X10"/>
    <mergeCell ref="Y9:Y10"/>
    <mergeCell ref="Z9:Z10"/>
    <mergeCell ref="Q9:Q10"/>
    <mergeCell ref="R9:R10"/>
    <mergeCell ref="S9:S10"/>
    <mergeCell ref="T9:T10"/>
    <mergeCell ref="U9:U10"/>
    <mergeCell ref="V9:V10"/>
    <mergeCell ref="B11:B12"/>
    <mergeCell ref="C11:J12"/>
    <mergeCell ref="K11:M12"/>
    <mergeCell ref="C3:J4"/>
    <mergeCell ref="K3:T4"/>
    <mergeCell ref="N11:T12"/>
    <mergeCell ref="K9:K10"/>
    <mergeCell ref="L9:L10"/>
    <mergeCell ref="AA9:AA10"/>
    <mergeCell ref="AB9:AB10"/>
    <mergeCell ref="W5:Y6"/>
    <mergeCell ref="O5:V6"/>
    <mergeCell ref="X7:X8"/>
    <mergeCell ref="Y7:Y8"/>
    <mergeCell ref="C13:AB14"/>
    <mergeCell ref="X21:Y22"/>
    <mergeCell ref="P15:Y16"/>
    <mergeCell ref="Z21:AA22"/>
    <mergeCell ref="AB15:AB22"/>
    <mergeCell ref="K15:O16"/>
    <mergeCell ref="C17:K18"/>
    <mergeCell ref="P17:P18"/>
    <mergeCell ref="C19:J22"/>
    <mergeCell ref="K21:V22"/>
    <mergeCell ref="L19:V20"/>
    <mergeCell ref="U17:Y18"/>
    <mergeCell ref="X19:Y20"/>
    <mergeCell ref="Z15:AA16"/>
    <mergeCell ref="Z17:AA18"/>
    <mergeCell ref="Z19:AA20"/>
    <mergeCell ref="Q17:T18"/>
    <mergeCell ref="M9:M10"/>
    <mergeCell ref="A46:B47"/>
    <mergeCell ref="U11:Y12"/>
    <mergeCell ref="C23:D24"/>
    <mergeCell ref="E23:M24"/>
    <mergeCell ref="Q23:V24"/>
    <mergeCell ref="N23:P24"/>
    <mergeCell ref="B40:B42"/>
    <mergeCell ref="B43:B45"/>
    <mergeCell ref="U3:AB4"/>
    <mergeCell ref="B25:B27"/>
    <mergeCell ref="B28:B30"/>
    <mergeCell ref="B31:B33"/>
    <mergeCell ref="B34:B36"/>
    <mergeCell ref="B37:B39"/>
    <mergeCell ref="A13:A24"/>
    <mergeCell ref="B23:B24"/>
    <mergeCell ref="W19:W20"/>
    <mergeCell ref="W21:W22"/>
    <mergeCell ref="W23:AA24"/>
    <mergeCell ref="B21:B22"/>
    <mergeCell ref="C15:J16"/>
    <mergeCell ref="K19:K20"/>
    <mergeCell ref="L17:O18"/>
    <mergeCell ref="B15:B16"/>
  </mergeCells>
  <phoneticPr fontId="2" type="noConversion"/>
  <conditionalFormatting sqref="C25:AB25 C26:P26 R26:AB26 C27:AB37 C38:P38 R38:AB38 C39:AB43 C44:E44 G44:AB44 C45:AB45">
    <cfRule type="containsText" dxfId="4" priority="4" operator="containsText" text="Jujitsu">
      <formula>NOT(ISERROR(SEARCH("Jujitsu",C25)))</formula>
    </cfRule>
    <cfRule type="containsText" dxfId="3" priority="5" operator="containsText" text="Travail">
      <formula>NOT(ISERROR(SEARCH("Travail",C25)))</formula>
    </cfRule>
  </conditionalFormatting>
  <conditionalFormatting sqref="C25:AB25 C26:P26 R26:AB26 C27:AB37 C38:P38 R38:AB38 C39:AB45">
    <cfRule type="containsText" dxfId="2" priority="2" operator="containsText" text="Renfo">
      <formula>NOT(ISERROR(SEARCH("Renfo",C25)))</formula>
    </cfRule>
    <cfRule type="containsText" dxfId="1" priority="3" operator="containsText" text="Séance">
      <formula>NOT(ISERROR(SEARCH("Séance",C25)))</formula>
    </cfRule>
  </conditionalFormatting>
  <conditionalFormatting sqref="C25:AB45">
    <cfRule type="containsBlanks" dxfId="0" priority="6">
      <formula>LEN(TRIM(C25))=0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50AF-20C8-47E8-8A0B-B7E19C972D81}">
  <dimension ref="B1:O90"/>
  <sheetViews>
    <sheetView topLeftCell="A86" zoomScale="50" workbookViewId="0">
      <selection activeCell="H95" sqref="H95"/>
    </sheetView>
  </sheetViews>
  <sheetFormatPr baseColWidth="10" defaultRowHeight="21" x14ac:dyDescent="0.3"/>
  <cols>
    <col min="1" max="1" width="11.5546875" style="15"/>
    <col min="2" max="2" width="11.77734375" style="15" bestFit="1" customWidth="1"/>
    <col min="3" max="3" width="15.88671875" style="15" bestFit="1" customWidth="1"/>
    <col min="4" max="4" width="18.33203125" style="15" bestFit="1" customWidth="1"/>
    <col min="5" max="5" width="30.33203125" style="15" bestFit="1" customWidth="1"/>
    <col min="6" max="6" width="48" style="15" customWidth="1"/>
    <col min="7" max="7" width="28.21875" style="16" bestFit="1" customWidth="1"/>
    <col min="8" max="8" width="22.88671875" style="15" customWidth="1"/>
    <col min="9" max="9" width="16.5546875" style="15" customWidth="1"/>
    <col min="10" max="10" width="27.21875" style="17" customWidth="1"/>
    <col min="11" max="11" width="30.6640625" style="15" customWidth="1"/>
    <col min="12" max="13" width="26.44140625" style="15" customWidth="1"/>
    <col min="14" max="14" width="18.21875" style="15" customWidth="1"/>
    <col min="15" max="15" width="24.88671875" style="15" customWidth="1"/>
    <col min="16" max="16384" width="11.5546875" style="15"/>
  </cols>
  <sheetData>
    <row r="1" spans="2:15" x14ac:dyDescent="0.3">
      <c r="B1" s="15" t="s">
        <v>6</v>
      </c>
      <c r="C1" s="15" t="s">
        <v>68</v>
      </c>
      <c r="D1" s="15" t="s">
        <v>77</v>
      </c>
      <c r="E1" s="15" t="s">
        <v>69</v>
      </c>
      <c r="F1" s="15" t="s">
        <v>70</v>
      </c>
      <c r="G1" s="16" t="s">
        <v>71</v>
      </c>
      <c r="H1" s="15" t="s">
        <v>96</v>
      </c>
      <c r="I1" s="15" t="s">
        <v>72</v>
      </c>
      <c r="J1" s="17" t="s">
        <v>100</v>
      </c>
      <c r="K1" s="15" t="s">
        <v>97</v>
      </c>
      <c r="L1" s="15" t="s">
        <v>98</v>
      </c>
      <c r="M1" s="15" t="s">
        <v>99</v>
      </c>
      <c r="N1" s="15" t="s">
        <v>64</v>
      </c>
      <c r="O1" s="15" t="s">
        <v>65</v>
      </c>
    </row>
    <row r="2" spans="2:15" ht="84" x14ac:dyDescent="0.3">
      <c r="B2" s="15">
        <v>1</v>
      </c>
      <c r="C2" s="18">
        <v>45992</v>
      </c>
      <c r="D2" s="15" t="s">
        <v>78</v>
      </c>
      <c r="E2" s="15" t="s">
        <v>27</v>
      </c>
      <c r="F2" s="15" t="s">
        <v>76</v>
      </c>
      <c r="G2" s="16" t="s">
        <v>79</v>
      </c>
      <c r="H2" s="16">
        <v>4</v>
      </c>
      <c r="I2" s="15">
        <v>34.15</v>
      </c>
      <c r="J2" s="17">
        <v>8.5399999999999991</v>
      </c>
      <c r="K2" s="15">
        <v>7</v>
      </c>
      <c r="L2" s="15">
        <v>100</v>
      </c>
      <c r="M2" s="15">
        <v>128</v>
      </c>
      <c r="N2" s="15">
        <v>3</v>
      </c>
      <c r="O2" s="15">
        <f>Tableau2[[#This Row],[Durée totale]]*Tableau2[[#This Row],[RPE]]</f>
        <v>102.44999999999999</v>
      </c>
    </row>
    <row r="3" spans="2:15" ht="126" x14ac:dyDescent="0.3">
      <c r="B3" s="15">
        <v>1</v>
      </c>
      <c r="C3" s="18">
        <v>45994</v>
      </c>
      <c r="D3" s="15" t="s">
        <v>78</v>
      </c>
      <c r="E3" s="15" t="s">
        <v>27</v>
      </c>
      <c r="F3" s="15" t="s">
        <v>76</v>
      </c>
      <c r="G3" s="16" t="s">
        <v>82</v>
      </c>
      <c r="H3" s="15">
        <v>4.1100000000000003</v>
      </c>
      <c r="I3" s="15">
        <v>35</v>
      </c>
      <c r="J3" s="17">
        <v>8.52</v>
      </c>
      <c r="K3" s="15">
        <v>7</v>
      </c>
      <c r="L3" s="15">
        <v>143</v>
      </c>
      <c r="M3" s="15">
        <v>153</v>
      </c>
      <c r="N3" s="15">
        <v>4</v>
      </c>
      <c r="O3" s="15">
        <f>Tableau2[[#This Row],[Durée totale]]*Tableau2[[#This Row],[RPE]]</f>
        <v>140</v>
      </c>
    </row>
    <row r="4" spans="2:15" ht="189" x14ac:dyDescent="0.3">
      <c r="B4" s="15">
        <v>1</v>
      </c>
      <c r="C4" s="18">
        <v>45998</v>
      </c>
      <c r="D4" s="15" t="s">
        <v>61</v>
      </c>
      <c r="E4" s="15" t="s">
        <v>35</v>
      </c>
      <c r="F4" s="15" t="s">
        <v>80</v>
      </c>
      <c r="G4" s="16" t="s">
        <v>91</v>
      </c>
      <c r="H4" s="15">
        <v>0</v>
      </c>
      <c r="I4" s="15">
        <v>20</v>
      </c>
      <c r="K4" s="15">
        <v>0</v>
      </c>
      <c r="N4" s="15">
        <v>7</v>
      </c>
      <c r="O4" s="15">
        <f>Tableau2[[#This Row],[Durée totale]]*Tableau2[[#This Row],[RPE]]</f>
        <v>140</v>
      </c>
    </row>
    <row r="5" spans="2:15" ht="105" x14ac:dyDescent="0.3">
      <c r="B5" s="15">
        <v>2</v>
      </c>
      <c r="C5" s="18">
        <v>46000</v>
      </c>
      <c r="D5" s="15" t="s">
        <v>78</v>
      </c>
      <c r="E5" s="15" t="s">
        <v>27</v>
      </c>
      <c r="F5" s="15" t="s">
        <v>76</v>
      </c>
      <c r="G5" s="16" t="s">
        <v>83</v>
      </c>
      <c r="H5" s="15">
        <v>5.85</v>
      </c>
      <c r="I5" s="15">
        <v>51</v>
      </c>
      <c r="J5" s="17">
        <v>8.48</v>
      </c>
      <c r="K5" s="15">
        <v>6.8</v>
      </c>
      <c r="L5" s="15">
        <v>125</v>
      </c>
      <c r="M5" s="15">
        <v>155</v>
      </c>
      <c r="N5" s="15">
        <v>3</v>
      </c>
      <c r="O5" s="15">
        <f>Tableau2[[#This Row],[Durée totale]]*Tableau2[[#This Row],[RPE]]</f>
        <v>153</v>
      </c>
    </row>
    <row r="6" spans="2:15" ht="126" x14ac:dyDescent="0.3">
      <c r="B6" s="15">
        <v>2</v>
      </c>
      <c r="C6" s="18">
        <v>46003</v>
      </c>
      <c r="D6" s="15" t="s">
        <v>78</v>
      </c>
      <c r="E6" s="15" t="s">
        <v>27</v>
      </c>
      <c r="F6" s="15" t="s">
        <v>76</v>
      </c>
      <c r="G6" s="16" t="s">
        <v>84</v>
      </c>
      <c r="H6" s="15">
        <v>4.1399999999999997</v>
      </c>
      <c r="I6" s="15">
        <v>35</v>
      </c>
      <c r="J6" s="17">
        <v>8.26</v>
      </c>
      <c r="K6" s="15">
        <v>7.11</v>
      </c>
      <c r="L6" s="15">
        <v>120</v>
      </c>
      <c r="M6" s="15">
        <v>164</v>
      </c>
      <c r="N6" s="15">
        <v>4</v>
      </c>
      <c r="O6" s="15">
        <f>Tableau2[[#This Row],[Durée totale]]*Tableau2[[#This Row],[RPE]]</f>
        <v>140</v>
      </c>
    </row>
    <row r="7" spans="2:15" ht="189" x14ac:dyDescent="0.3">
      <c r="B7" s="15">
        <v>2</v>
      </c>
      <c r="C7" s="18">
        <v>46004</v>
      </c>
      <c r="D7" s="15" t="s">
        <v>61</v>
      </c>
      <c r="E7" s="15" t="s">
        <v>35</v>
      </c>
      <c r="F7" s="15" t="s">
        <v>80</v>
      </c>
      <c r="G7" s="16" t="s">
        <v>92</v>
      </c>
      <c r="I7" s="15">
        <v>45</v>
      </c>
      <c r="N7" s="15">
        <v>3</v>
      </c>
      <c r="O7" s="15">
        <f>Tableau2[[#This Row],[Durée totale]]*Tableau2[[#This Row],[RPE]]</f>
        <v>135</v>
      </c>
    </row>
    <row r="8" spans="2:15" ht="63" x14ac:dyDescent="0.3">
      <c r="B8" s="15">
        <v>3</v>
      </c>
      <c r="C8" s="18">
        <v>46008</v>
      </c>
      <c r="D8" s="15" t="s">
        <v>78</v>
      </c>
      <c r="E8" s="15" t="s">
        <v>27</v>
      </c>
      <c r="F8" s="15" t="s">
        <v>85</v>
      </c>
      <c r="G8" s="16" t="s">
        <v>87</v>
      </c>
      <c r="H8" s="15">
        <v>5</v>
      </c>
      <c r="I8" s="15">
        <v>44</v>
      </c>
      <c r="J8" s="17">
        <v>8.4700000000000006</v>
      </c>
      <c r="K8" s="15">
        <v>6.8</v>
      </c>
      <c r="L8" s="15">
        <v>120</v>
      </c>
      <c r="M8" s="15">
        <v>147</v>
      </c>
      <c r="N8" s="15">
        <v>3</v>
      </c>
      <c r="O8" s="15">
        <f>Tableau2[[#This Row],[Durée totale]]*Tableau2[[#This Row],[RPE]]</f>
        <v>132</v>
      </c>
    </row>
    <row r="9" spans="2:15" ht="88.8" customHeight="1" x14ac:dyDescent="0.3">
      <c r="B9" s="15">
        <v>3</v>
      </c>
      <c r="C9" s="18">
        <v>46011</v>
      </c>
      <c r="D9" s="15" t="s">
        <v>78</v>
      </c>
      <c r="E9" s="15" t="s">
        <v>27</v>
      </c>
      <c r="F9" s="15" t="s">
        <v>86</v>
      </c>
      <c r="G9" s="16" t="s">
        <v>90</v>
      </c>
      <c r="H9" s="15">
        <v>4.12</v>
      </c>
      <c r="I9" s="15">
        <v>36</v>
      </c>
      <c r="J9" s="17">
        <v>8.43</v>
      </c>
      <c r="K9" s="15">
        <v>6.9</v>
      </c>
      <c r="L9" s="15">
        <v>125</v>
      </c>
      <c r="M9" s="15">
        <v>140</v>
      </c>
      <c r="N9" s="15">
        <v>3</v>
      </c>
      <c r="O9" s="15">
        <f>Tableau2[[#This Row],[Durée totale]]*Tableau2[[#This Row],[RPE]]</f>
        <v>108</v>
      </c>
    </row>
    <row r="10" spans="2:15" ht="84" x14ac:dyDescent="0.3">
      <c r="B10" s="15">
        <v>3</v>
      </c>
      <c r="C10" s="18">
        <v>46012</v>
      </c>
      <c r="D10" s="15" t="s">
        <v>78</v>
      </c>
      <c r="E10" s="15" t="s">
        <v>27</v>
      </c>
      <c r="F10" s="15" t="s">
        <v>88</v>
      </c>
      <c r="G10" s="16" t="s">
        <v>89</v>
      </c>
      <c r="H10" s="15">
        <v>8.2899999999999991</v>
      </c>
      <c r="I10" s="15">
        <v>80</v>
      </c>
      <c r="J10" s="17">
        <v>9.4</v>
      </c>
      <c r="K10" s="15">
        <v>6.2</v>
      </c>
      <c r="L10" s="15">
        <v>103</v>
      </c>
      <c r="M10" s="15">
        <v>115</v>
      </c>
      <c r="N10" s="15">
        <v>3</v>
      </c>
      <c r="O10" s="15">
        <f>Tableau2[[#This Row],[Durée totale]]*Tableau2[[#This Row],[RPE]]</f>
        <v>240</v>
      </c>
    </row>
    <row r="11" spans="2:15" ht="105" x14ac:dyDescent="0.3">
      <c r="B11" s="15">
        <v>3</v>
      </c>
      <c r="C11" s="18">
        <v>46013</v>
      </c>
      <c r="D11" s="15" t="s">
        <v>61</v>
      </c>
      <c r="E11" s="15" t="s">
        <v>35</v>
      </c>
      <c r="F11" s="15" t="s">
        <v>80</v>
      </c>
      <c r="G11" s="16" t="s">
        <v>93</v>
      </c>
      <c r="I11" s="15">
        <v>45</v>
      </c>
      <c r="N11" s="15">
        <v>7</v>
      </c>
      <c r="O11" s="15">
        <f>Tableau2[[#This Row],[Durée totale]]*Tableau2[[#This Row],[RPE]]</f>
        <v>315</v>
      </c>
    </row>
    <row r="12" spans="2:15" ht="126" x14ac:dyDescent="0.3">
      <c r="B12" s="15">
        <v>4</v>
      </c>
      <c r="C12" s="18">
        <v>46014</v>
      </c>
      <c r="D12" s="15" t="s">
        <v>61</v>
      </c>
      <c r="E12" s="15" t="s">
        <v>35</v>
      </c>
      <c r="F12" s="15" t="s">
        <v>80</v>
      </c>
      <c r="G12" s="16" t="s">
        <v>94</v>
      </c>
      <c r="I12" s="15">
        <v>45</v>
      </c>
      <c r="N12" s="15">
        <v>5</v>
      </c>
      <c r="O12" s="15">
        <f>Tableau2[[#This Row],[Durée totale]]*Tableau2[[#This Row],[RPE]]</f>
        <v>225</v>
      </c>
    </row>
    <row r="13" spans="2:15" ht="42" x14ac:dyDescent="0.3">
      <c r="B13" s="15">
        <v>4</v>
      </c>
      <c r="C13" s="18">
        <v>46018</v>
      </c>
      <c r="D13" s="15" t="s">
        <v>78</v>
      </c>
      <c r="E13" s="15" t="s">
        <v>27</v>
      </c>
      <c r="F13" s="15" t="s">
        <v>88</v>
      </c>
      <c r="G13" s="16" t="s">
        <v>95</v>
      </c>
      <c r="H13" s="15">
        <v>7.25</v>
      </c>
      <c r="I13" s="15">
        <v>65</v>
      </c>
      <c r="J13" s="17">
        <v>8.58</v>
      </c>
      <c r="K13" s="15">
        <v>6.7</v>
      </c>
      <c r="L13" s="15">
        <v>127</v>
      </c>
      <c r="M13" s="15">
        <v>150</v>
      </c>
      <c r="N13" s="15">
        <v>3</v>
      </c>
      <c r="O13" s="15">
        <f>Tableau2[[#This Row],[Durée totale]]*Tableau2[[#This Row],[RPE]]</f>
        <v>195</v>
      </c>
    </row>
    <row r="14" spans="2:15" ht="105" x14ac:dyDescent="0.3">
      <c r="B14" s="15">
        <v>4</v>
      </c>
      <c r="C14" s="18">
        <v>46019</v>
      </c>
      <c r="D14" s="15" t="s">
        <v>78</v>
      </c>
      <c r="E14" s="15" t="s">
        <v>27</v>
      </c>
      <c r="F14" s="15" t="s">
        <v>88</v>
      </c>
      <c r="G14" s="16" t="s">
        <v>101</v>
      </c>
      <c r="H14" s="15">
        <v>3.36</v>
      </c>
      <c r="I14" s="15">
        <v>30</v>
      </c>
      <c r="J14" s="17">
        <v>9.01</v>
      </c>
      <c r="K14" s="15">
        <v>6.7</v>
      </c>
      <c r="L14" s="15">
        <v>138</v>
      </c>
      <c r="M14" s="15">
        <v>150</v>
      </c>
      <c r="N14" s="15">
        <v>4</v>
      </c>
      <c r="O14" s="15">
        <f>Tableau2[[#This Row],[Durée totale]]*Tableau2[[#This Row],[RPE]]</f>
        <v>120</v>
      </c>
    </row>
    <row r="15" spans="2:15" ht="42" x14ac:dyDescent="0.3">
      <c r="B15" s="15">
        <v>4</v>
      </c>
      <c r="C15" s="18">
        <v>46017</v>
      </c>
      <c r="D15" s="15" t="s">
        <v>78</v>
      </c>
      <c r="E15" s="15" t="s">
        <v>27</v>
      </c>
      <c r="F15" s="15" t="s">
        <v>88</v>
      </c>
      <c r="G15" s="16" t="s">
        <v>102</v>
      </c>
      <c r="H15" s="15">
        <v>10</v>
      </c>
      <c r="I15" s="15">
        <v>90</v>
      </c>
      <c r="J15" s="17">
        <v>8.5500000000000007</v>
      </c>
      <c r="K15" s="15">
        <v>6.47</v>
      </c>
      <c r="L15" s="15">
        <v>123</v>
      </c>
      <c r="M15" s="15">
        <v>154</v>
      </c>
      <c r="N15" s="15">
        <v>3</v>
      </c>
      <c r="O15" s="15">
        <f>Tableau2[[#This Row],[Durée totale]]*Tableau2[[#This Row],[RPE]]</f>
        <v>270</v>
      </c>
    </row>
    <row r="16" spans="2:15" ht="273" customHeight="1" x14ac:dyDescent="0.3">
      <c r="B16" s="15">
        <v>5</v>
      </c>
      <c r="C16" s="18">
        <v>46020</v>
      </c>
      <c r="D16" s="15" t="s">
        <v>61</v>
      </c>
      <c r="E16" s="15" t="s">
        <v>35</v>
      </c>
      <c r="F16" s="15" t="s">
        <v>80</v>
      </c>
      <c r="G16" s="16" t="s">
        <v>103</v>
      </c>
      <c r="I16" s="15">
        <v>60</v>
      </c>
      <c r="N16" s="15">
        <v>5</v>
      </c>
      <c r="O16" s="15">
        <f>Tableau2[[#This Row],[Durée totale]]*Tableau2[[#This Row],[RPE]]</f>
        <v>300</v>
      </c>
    </row>
    <row r="17" spans="2:15" ht="42" x14ac:dyDescent="0.3">
      <c r="B17" s="15">
        <v>5</v>
      </c>
      <c r="C17" s="18">
        <v>46022</v>
      </c>
      <c r="D17" s="15" t="s">
        <v>78</v>
      </c>
      <c r="E17" s="15" t="s">
        <v>27</v>
      </c>
      <c r="F17" s="15" t="s">
        <v>88</v>
      </c>
      <c r="G17" s="16" t="s">
        <v>104</v>
      </c>
      <c r="H17" s="15">
        <v>7.62</v>
      </c>
      <c r="I17" s="15">
        <v>65</v>
      </c>
      <c r="J17" s="17">
        <v>8.3699999999999992</v>
      </c>
      <c r="K17" s="15">
        <v>7</v>
      </c>
      <c r="L17" s="15">
        <v>136</v>
      </c>
      <c r="M17" s="15">
        <v>153</v>
      </c>
      <c r="N17" s="15">
        <v>3</v>
      </c>
      <c r="O17" s="15">
        <f>Tableau2[[#This Row],[Durée totale]]*Tableau2[[#This Row],[RPE]]</f>
        <v>195</v>
      </c>
    </row>
    <row r="18" spans="2:15" ht="42" x14ac:dyDescent="0.3">
      <c r="B18" s="15">
        <v>5</v>
      </c>
      <c r="C18" s="15" t="s">
        <v>73</v>
      </c>
      <c r="D18" s="15" t="s">
        <v>78</v>
      </c>
      <c r="E18" s="15" t="s">
        <v>27</v>
      </c>
      <c r="F18" s="15" t="s">
        <v>88</v>
      </c>
      <c r="G18" s="16" t="s">
        <v>102</v>
      </c>
      <c r="H18" s="15">
        <v>0</v>
      </c>
      <c r="I18" s="15">
        <v>0</v>
      </c>
      <c r="J18" s="17">
        <v>0</v>
      </c>
      <c r="K18" s="15">
        <v>0</v>
      </c>
      <c r="L18" s="15">
        <v>0</v>
      </c>
      <c r="M18" s="15">
        <v>0</v>
      </c>
      <c r="N18" s="15">
        <v>0</v>
      </c>
      <c r="O18" s="15">
        <f>Tableau2[[#This Row],[Durée totale]]*Tableau2[[#This Row],[RPE]]</f>
        <v>0</v>
      </c>
    </row>
    <row r="19" spans="2:15" ht="105" x14ac:dyDescent="0.3">
      <c r="B19" s="15">
        <v>6</v>
      </c>
      <c r="C19" s="18">
        <v>46028</v>
      </c>
      <c r="D19" s="15" t="s">
        <v>78</v>
      </c>
      <c r="E19" s="15" t="s">
        <v>27</v>
      </c>
      <c r="F19" s="15" t="s">
        <v>88</v>
      </c>
      <c r="G19" s="16" t="s">
        <v>105</v>
      </c>
      <c r="H19" s="15">
        <v>6.67</v>
      </c>
      <c r="I19" s="15">
        <v>60</v>
      </c>
      <c r="J19" s="17" t="s">
        <v>113</v>
      </c>
      <c r="K19" s="15" t="s">
        <v>114</v>
      </c>
      <c r="L19" s="15">
        <v>121</v>
      </c>
      <c r="M19" s="15">
        <v>141</v>
      </c>
      <c r="N19" s="15">
        <v>3</v>
      </c>
      <c r="O19" s="15">
        <f>Tableau2[[#This Row],[Durée totale]]*Tableau2[[#This Row],[RPE]]</f>
        <v>180</v>
      </c>
    </row>
    <row r="20" spans="2:15" ht="288.60000000000002" customHeight="1" x14ac:dyDescent="0.3">
      <c r="B20" s="15">
        <v>6</v>
      </c>
      <c r="C20" s="18">
        <v>46029</v>
      </c>
      <c r="D20" s="15" t="s">
        <v>61</v>
      </c>
      <c r="E20" s="15" t="s">
        <v>35</v>
      </c>
      <c r="F20" s="15" t="s">
        <v>80</v>
      </c>
      <c r="G20" s="16" t="s">
        <v>109</v>
      </c>
      <c r="I20" s="15">
        <v>70</v>
      </c>
      <c r="N20" s="15">
        <v>7</v>
      </c>
      <c r="O20" s="15">
        <f>Tableau2[[#This Row],[Durée totale]]*Tableau2[[#This Row],[RPE]]</f>
        <v>490</v>
      </c>
    </row>
    <row r="21" spans="2:15" ht="105" x14ac:dyDescent="0.3">
      <c r="B21" s="15">
        <v>6</v>
      </c>
      <c r="C21" s="18">
        <v>46030</v>
      </c>
      <c r="D21" s="15" t="s">
        <v>78</v>
      </c>
      <c r="E21" s="15" t="s">
        <v>28</v>
      </c>
      <c r="F21" s="15" t="s">
        <v>88</v>
      </c>
      <c r="G21" s="16" t="s">
        <v>106</v>
      </c>
      <c r="H21" s="15" t="s">
        <v>115</v>
      </c>
      <c r="I21" s="15">
        <v>90</v>
      </c>
      <c r="J21" s="17" t="s">
        <v>116</v>
      </c>
      <c r="K21" s="15" t="s">
        <v>117</v>
      </c>
      <c r="L21" s="15">
        <v>107</v>
      </c>
      <c r="M21" s="15">
        <v>148</v>
      </c>
      <c r="N21" s="15">
        <v>5</v>
      </c>
      <c r="O21" s="15">
        <f>Tableau2[[#This Row],[Durée totale]]*Tableau2[[#This Row],[RPE]]</f>
        <v>450</v>
      </c>
    </row>
    <row r="22" spans="2:15" x14ac:dyDescent="0.3">
      <c r="B22" s="15">
        <v>7</v>
      </c>
      <c r="C22" s="15" t="s">
        <v>66</v>
      </c>
      <c r="D22" s="15" t="s">
        <v>78</v>
      </c>
      <c r="E22" s="15" t="s">
        <v>27</v>
      </c>
      <c r="F22" s="15" t="s">
        <v>88</v>
      </c>
      <c r="G22" s="16" t="s">
        <v>118</v>
      </c>
      <c r="O22" s="15">
        <f>Tableau2[[#This Row],[Durée totale]]*Tableau2[[#This Row],[RPE]]</f>
        <v>0</v>
      </c>
    </row>
    <row r="23" spans="2:15" ht="42" x14ac:dyDescent="0.3">
      <c r="B23" s="15">
        <v>7</v>
      </c>
      <c r="C23" s="15" t="s">
        <v>67</v>
      </c>
      <c r="D23" s="15" t="s">
        <v>78</v>
      </c>
      <c r="E23" s="15" t="s">
        <v>27</v>
      </c>
      <c r="F23" s="15" t="s">
        <v>88</v>
      </c>
      <c r="G23" s="16" t="s">
        <v>119</v>
      </c>
      <c r="H23" s="15" t="s">
        <v>120</v>
      </c>
      <c r="I23" s="15">
        <v>105</v>
      </c>
      <c r="J23" s="17" t="s">
        <v>121</v>
      </c>
      <c r="K23" s="15">
        <v>7</v>
      </c>
      <c r="L23" s="15">
        <v>150</v>
      </c>
      <c r="M23" s="15">
        <v>173</v>
      </c>
      <c r="N23" s="15">
        <v>4</v>
      </c>
      <c r="O23" s="15">
        <f>Tableau2[[#This Row],[Durée totale]]*Tableau2[[#This Row],[RPE]]</f>
        <v>420</v>
      </c>
    </row>
    <row r="24" spans="2:15" ht="183.6" customHeight="1" x14ac:dyDescent="0.3">
      <c r="B24" s="15">
        <v>7</v>
      </c>
      <c r="C24" s="15" t="s">
        <v>73</v>
      </c>
      <c r="D24" s="15" t="s">
        <v>61</v>
      </c>
      <c r="E24" s="15" t="s">
        <v>27</v>
      </c>
      <c r="F24" s="15" t="s">
        <v>22</v>
      </c>
      <c r="G24" s="16" t="s">
        <v>107</v>
      </c>
      <c r="I24" s="15">
        <v>60</v>
      </c>
      <c r="N24" s="15">
        <v>7</v>
      </c>
      <c r="O24" s="15">
        <f>Tableau2[[#This Row],[Durée totale]]*Tableau2[[#This Row],[RPE]]</f>
        <v>420</v>
      </c>
    </row>
    <row r="25" spans="2:15" x14ac:dyDescent="0.3">
      <c r="B25" s="15">
        <v>8</v>
      </c>
      <c r="C25" s="18">
        <v>46041</v>
      </c>
      <c r="D25" s="15" t="s">
        <v>78</v>
      </c>
      <c r="E25" s="15" t="s">
        <v>27</v>
      </c>
      <c r="F25" s="15" t="s">
        <v>88</v>
      </c>
      <c r="G25" s="16" t="s">
        <v>108</v>
      </c>
      <c r="H25" s="15">
        <v>5.47</v>
      </c>
      <c r="I25" s="15">
        <v>60</v>
      </c>
      <c r="J25" s="17">
        <v>8.1199999999999992</v>
      </c>
      <c r="K25" s="15">
        <v>5.5</v>
      </c>
      <c r="L25" s="15">
        <v>150</v>
      </c>
      <c r="M25" s="15">
        <v>170</v>
      </c>
      <c r="N25" s="15">
        <v>3</v>
      </c>
      <c r="O25" s="15">
        <f>Tableau2[[#This Row],[Durée totale]]*Tableau2[[#This Row],[RPE]]</f>
        <v>180</v>
      </c>
    </row>
    <row r="26" spans="2:15" ht="231" x14ac:dyDescent="0.3">
      <c r="B26" s="15">
        <v>8</v>
      </c>
      <c r="C26" s="18">
        <v>46042</v>
      </c>
      <c r="D26" s="15" t="s">
        <v>61</v>
      </c>
      <c r="E26" s="15" t="s">
        <v>35</v>
      </c>
      <c r="F26" s="15" t="s">
        <v>80</v>
      </c>
      <c r="G26" s="16" t="s">
        <v>110</v>
      </c>
      <c r="H26" s="15">
        <v>70</v>
      </c>
      <c r="N26" s="15">
        <v>5</v>
      </c>
      <c r="O26" s="15">
        <f>Tableau2[[#This Row],[Durée totale]]*Tableau2[[#This Row],[RPE]]</f>
        <v>0</v>
      </c>
    </row>
    <row r="27" spans="2:15" ht="126" x14ac:dyDescent="0.3">
      <c r="B27" s="15">
        <v>8</v>
      </c>
      <c r="C27" s="18">
        <v>46048</v>
      </c>
      <c r="D27" s="15" t="s">
        <v>78</v>
      </c>
      <c r="E27" s="15" t="s">
        <v>27</v>
      </c>
      <c r="F27" s="15" t="s">
        <v>88</v>
      </c>
      <c r="G27" s="16" t="s">
        <v>111</v>
      </c>
      <c r="H27" s="15">
        <v>8.51</v>
      </c>
      <c r="I27" s="15">
        <v>60</v>
      </c>
      <c r="J27" s="17">
        <v>8.2200000000000006</v>
      </c>
      <c r="K27" s="15">
        <v>7.2</v>
      </c>
      <c r="L27" s="15">
        <v>136</v>
      </c>
      <c r="M27" s="15">
        <v>156</v>
      </c>
      <c r="N27" s="15">
        <v>3</v>
      </c>
      <c r="O27" s="15">
        <f>Tableau2[[#This Row],[Durée totale]]*Tableau2[[#This Row],[RPE]]</f>
        <v>180</v>
      </c>
    </row>
    <row r="28" spans="2:15" ht="63" x14ac:dyDescent="0.3">
      <c r="B28" s="15">
        <v>8</v>
      </c>
      <c r="C28" s="18">
        <v>38740</v>
      </c>
      <c r="D28" s="15" t="s">
        <v>78</v>
      </c>
      <c r="E28" s="15" t="s">
        <v>27</v>
      </c>
      <c r="F28" s="15" t="s">
        <v>88</v>
      </c>
      <c r="G28" s="16" t="s">
        <v>112</v>
      </c>
      <c r="H28" s="15">
        <v>9.23</v>
      </c>
      <c r="I28" s="15">
        <v>90</v>
      </c>
      <c r="J28" s="17">
        <v>7.4</v>
      </c>
      <c r="K28" s="15">
        <v>14.6</v>
      </c>
      <c r="L28" s="15">
        <v>132</v>
      </c>
      <c r="M28" s="15">
        <v>164</v>
      </c>
      <c r="N28" s="15">
        <v>4</v>
      </c>
      <c r="O28" s="15">
        <f>Tableau2[[#This Row],[Durée totale]]*Tableau2[[#This Row],[RPE]]</f>
        <v>360</v>
      </c>
    </row>
    <row r="29" spans="2:15" x14ac:dyDescent="0.3">
      <c r="B29" s="15">
        <v>9</v>
      </c>
      <c r="C29" s="15" t="s">
        <v>66</v>
      </c>
      <c r="D29" s="15" t="s">
        <v>78</v>
      </c>
      <c r="E29" s="15" t="s">
        <v>27</v>
      </c>
      <c r="G29" s="16" t="s">
        <v>122</v>
      </c>
      <c r="O29" s="15">
        <f>Tableau2[[#This Row],[Durée totale]]*Tableau2[[#This Row],[RPE]]</f>
        <v>0</v>
      </c>
    </row>
    <row r="30" spans="2:15" ht="147" x14ac:dyDescent="0.3">
      <c r="B30" s="15">
        <v>9</v>
      </c>
      <c r="D30" s="15" t="s">
        <v>61</v>
      </c>
      <c r="E30" s="15" t="s">
        <v>36</v>
      </c>
      <c r="G30" s="16" t="s">
        <v>125</v>
      </c>
      <c r="O30" s="15">
        <f>Tableau2[[#This Row],[Durée totale]]*Tableau2[[#This Row],[RPE]]</f>
        <v>0</v>
      </c>
    </row>
    <row r="31" spans="2:15" ht="84" x14ac:dyDescent="0.3">
      <c r="B31" s="15">
        <v>9</v>
      </c>
      <c r="D31" s="15" t="s">
        <v>78</v>
      </c>
      <c r="E31" s="15" t="s">
        <v>28</v>
      </c>
      <c r="G31" s="16" t="s">
        <v>123</v>
      </c>
      <c r="O31" s="15">
        <f>Tableau2[[#This Row],[Durée totale]]*Tableau2[[#This Row],[RPE]]</f>
        <v>0</v>
      </c>
    </row>
    <row r="32" spans="2:15" ht="105" x14ac:dyDescent="0.3">
      <c r="B32" s="15">
        <v>9</v>
      </c>
      <c r="C32" s="15" t="s">
        <v>81</v>
      </c>
      <c r="D32" s="15" t="s">
        <v>78</v>
      </c>
      <c r="E32" s="15" t="s">
        <v>27</v>
      </c>
      <c r="G32" s="16" t="s">
        <v>124</v>
      </c>
      <c r="O32" s="15">
        <f>Tableau2[[#This Row],[Durée totale]]*Tableau2[[#This Row],[RPE]]</f>
        <v>0</v>
      </c>
    </row>
    <row r="33" spans="2:15" ht="105" x14ac:dyDescent="0.3">
      <c r="B33" s="15">
        <v>10</v>
      </c>
      <c r="C33" s="15" t="s">
        <v>66</v>
      </c>
      <c r="D33" s="15" t="s">
        <v>78</v>
      </c>
      <c r="E33" s="15" t="s">
        <v>27</v>
      </c>
      <c r="G33" s="16" t="s">
        <v>126</v>
      </c>
      <c r="O33" s="15">
        <f>Tableau2[[#This Row],[Durée totale]]*Tableau2[[#This Row],[RPE]]</f>
        <v>0</v>
      </c>
    </row>
    <row r="34" spans="2:15" ht="105" x14ac:dyDescent="0.3">
      <c r="B34" s="15">
        <v>10</v>
      </c>
      <c r="C34" s="15" t="s">
        <v>67</v>
      </c>
      <c r="D34" s="15" t="s">
        <v>78</v>
      </c>
      <c r="E34" s="15" t="s">
        <v>28</v>
      </c>
      <c r="G34" s="16" t="s">
        <v>127</v>
      </c>
      <c r="O34" s="15">
        <f>Tableau2[[#This Row],[Durée totale]]*Tableau2[[#This Row],[RPE]]</f>
        <v>0</v>
      </c>
    </row>
    <row r="35" spans="2:15" ht="105" x14ac:dyDescent="0.3">
      <c r="B35" s="15">
        <v>10</v>
      </c>
      <c r="C35" s="15" t="s">
        <v>73</v>
      </c>
      <c r="D35" s="15" t="s">
        <v>78</v>
      </c>
      <c r="E35" s="15" t="s">
        <v>27</v>
      </c>
      <c r="G35" s="16" t="s">
        <v>128</v>
      </c>
      <c r="O35" s="15">
        <f>Tableau2[[#This Row],[Durée totale]]*Tableau2[[#This Row],[RPE]]</f>
        <v>0</v>
      </c>
    </row>
    <row r="36" spans="2:15" ht="168" x14ac:dyDescent="0.3">
      <c r="B36" s="15">
        <v>10</v>
      </c>
      <c r="C36" s="15" t="s">
        <v>81</v>
      </c>
      <c r="D36" s="15" t="s">
        <v>61</v>
      </c>
      <c r="E36" s="15" t="s">
        <v>36</v>
      </c>
      <c r="G36" s="16" t="s">
        <v>129</v>
      </c>
      <c r="O36" s="15">
        <f>Tableau2[[#This Row],[Durée totale]]*Tableau2[[#This Row],[RPE]]</f>
        <v>0</v>
      </c>
    </row>
    <row r="37" spans="2:15" ht="84" x14ac:dyDescent="0.3">
      <c r="B37" s="15">
        <v>11</v>
      </c>
      <c r="C37" s="15" t="s">
        <v>66</v>
      </c>
      <c r="D37" s="15" t="s">
        <v>78</v>
      </c>
      <c r="E37" s="15" t="s">
        <v>27</v>
      </c>
      <c r="G37" s="16" t="s">
        <v>130</v>
      </c>
      <c r="O37" s="15">
        <f>Tableau2[[#This Row],[Durée totale]]*Tableau2[[#This Row],[RPE]]</f>
        <v>0</v>
      </c>
    </row>
    <row r="38" spans="2:15" ht="84" x14ac:dyDescent="0.3">
      <c r="B38" s="15">
        <v>11</v>
      </c>
      <c r="C38" s="15" t="s">
        <v>67</v>
      </c>
      <c r="D38" s="15" t="s">
        <v>78</v>
      </c>
      <c r="E38" s="15" t="s">
        <v>28</v>
      </c>
      <c r="G38" s="16" t="s">
        <v>131</v>
      </c>
      <c r="O38" s="15">
        <f>Tableau2[[#This Row],[Durée totale]]*Tableau2[[#This Row],[RPE]]</f>
        <v>0</v>
      </c>
    </row>
    <row r="39" spans="2:15" ht="168" x14ac:dyDescent="0.3">
      <c r="B39" s="15">
        <v>11</v>
      </c>
      <c r="C39" s="15" t="s">
        <v>73</v>
      </c>
      <c r="D39" s="15" t="s">
        <v>61</v>
      </c>
      <c r="E39" s="15" t="s">
        <v>36</v>
      </c>
      <c r="G39" s="16" t="s">
        <v>133</v>
      </c>
      <c r="O39" s="15">
        <f>Tableau2[[#This Row],[Durée totale]]*Tableau2[[#This Row],[RPE]]</f>
        <v>0</v>
      </c>
    </row>
    <row r="40" spans="2:15" ht="42" x14ac:dyDescent="0.3">
      <c r="B40" s="15">
        <v>11</v>
      </c>
      <c r="C40" s="15" t="s">
        <v>81</v>
      </c>
      <c r="D40" s="15" t="s">
        <v>78</v>
      </c>
      <c r="E40" s="15" t="s">
        <v>27</v>
      </c>
      <c r="G40" s="16" t="s">
        <v>132</v>
      </c>
      <c r="O40" s="15">
        <f>Tableau2[[#This Row],[Durée totale]]*Tableau2[[#This Row],[RPE]]</f>
        <v>0</v>
      </c>
    </row>
    <row r="41" spans="2:15" x14ac:dyDescent="0.3">
      <c r="B41" s="15">
        <v>12</v>
      </c>
      <c r="C41" s="15" t="s">
        <v>66</v>
      </c>
      <c r="D41" s="15" t="s">
        <v>78</v>
      </c>
      <c r="E41" s="15" t="s">
        <v>27</v>
      </c>
      <c r="G41" s="16" t="s">
        <v>108</v>
      </c>
      <c r="O41" s="15">
        <f>Tableau2[[#This Row],[Durée totale]]*Tableau2[[#This Row],[RPE]]</f>
        <v>0</v>
      </c>
    </row>
    <row r="42" spans="2:15" ht="126" x14ac:dyDescent="0.3">
      <c r="B42" s="15">
        <v>12</v>
      </c>
      <c r="C42" s="15" t="s">
        <v>67</v>
      </c>
      <c r="D42" s="15" t="s">
        <v>61</v>
      </c>
      <c r="G42" s="16" t="s">
        <v>134</v>
      </c>
      <c r="O42" s="15">
        <f>Tableau2[[#This Row],[Durée totale]]*Tableau2[[#This Row],[RPE]]</f>
        <v>0</v>
      </c>
    </row>
    <row r="43" spans="2:15" ht="105" x14ac:dyDescent="0.3">
      <c r="B43" s="15">
        <v>12</v>
      </c>
      <c r="C43" s="15" t="s">
        <v>73</v>
      </c>
      <c r="G43" s="16" t="s">
        <v>135</v>
      </c>
      <c r="O43" s="15">
        <f>Tableau2[[#This Row],[Durée totale]]*Tableau2[[#This Row],[RPE]]</f>
        <v>0</v>
      </c>
    </row>
    <row r="44" spans="2:15" x14ac:dyDescent="0.3">
      <c r="B44" s="15">
        <v>13</v>
      </c>
      <c r="C44" s="15" t="s">
        <v>66</v>
      </c>
      <c r="G44" s="16" t="s">
        <v>136</v>
      </c>
      <c r="O44" s="15">
        <f>Tableau2[[#This Row],[Durée totale]]*Tableau2[[#This Row],[RPE]]</f>
        <v>0</v>
      </c>
    </row>
    <row r="45" spans="2:15" ht="84" x14ac:dyDescent="0.3">
      <c r="B45" s="15">
        <v>13</v>
      </c>
      <c r="C45" s="15" t="s">
        <v>67</v>
      </c>
      <c r="G45" s="16" t="s">
        <v>137</v>
      </c>
      <c r="O45" s="15">
        <f>Tableau2[[#This Row],[Durée totale]]*Tableau2[[#This Row],[RPE]]</f>
        <v>0</v>
      </c>
    </row>
    <row r="46" spans="2:15" ht="84" x14ac:dyDescent="0.3">
      <c r="B46" s="15">
        <v>13</v>
      </c>
      <c r="C46" s="15" t="s">
        <v>73</v>
      </c>
      <c r="G46" s="16" t="s">
        <v>138</v>
      </c>
      <c r="O46" s="15">
        <f>Tableau2[[#This Row],[Durée totale]]*Tableau2[[#This Row],[RPE]]</f>
        <v>0</v>
      </c>
    </row>
    <row r="47" spans="2:15" ht="84" x14ac:dyDescent="0.3">
      <c r="B47" s="15">
        <v>13</v>
      </c>
      <c r="C47" s="15" t="s">
        <v>81</v>
      </c>
      <c r="G47" s="16" t="s">
        <v>139</v>
      </c>
      <c r="O47" s="15">
        <f>Tableau2[[#This Row],[Durée totale]]*Tableau2[[#This Row],[RPE]]</f>
        <v>0</v>
      </c>
    </row>
    <row r="48" spans="2:15" ht="42" x14ac:dyDescent="0.3">
      <c r="B48" s="15">
        <v>14</v>
      </c>
      <c r="C48" s="15" t="s">
        <v>66</v>
      </c>
      <c r="D48" s="15" t="s">
        <v>78</v>
      </c>
      <c r="F48" s="15" t="s">
        <v>22</v>
      </c>
      <c r="G48" s="16" t="s">
        <v>140</v>
      </c>
      <c r="J48" s="17" t="e">
        <f>Tableau2[[#This Row],[Durée totale]]/Tableau2[[#This Row],[Distance totale (km)]]</f>
        <v>#DIV/0!</v>
      </c>
      <c r="O48" s="15">
        <f>Tableau2[[#This Row],[Durée totale]]*Tableau2[[#This Row],[RPE]]</f>
        <v>0</v>
      </c>
    </row>
    <row r="49" spans="2:15" ht="63" x14ac:dyDescent="0.3">
      <c r="B49" s="15">
        <v>14</v>
      </c>
      <c r="C49" s="15" t="s">
        <v>67</v>
      </c>
      <c r="D49" s="15" t="s">
        <v>61</v>
      </c>
      <c r="G49" s="16" t="s">
        <v>141</v>
      </c>
      <c r="J49" s="17" t="e">
        <f>Tableau2[[#This Row],[Durée totale]]/Tableau2[[#This Row],[Distance totale (km)]]</f>
        <v>#DIV/0!</v>
      </c>
      <c r="O49" s="15">
        <f>Tableau2[[#This Row],[Durée totale]]*Tableau2[[#This Row],[RPE]]</f>
        <v>0</v>
      </c>
    </row>
    <row r="50" spans="2:15" ht="168" x14ac:dyDescent="0.3">
      <c r="B50" s="15">
        <v>14</v>
      </c>
      <c r="C50" s="15" t="s">
        <v>81</v>
      </c>
      <c r="D50" s="15" t="s">
        <v>61</v>
      </c>
      <c r="G50" s="16" t="s">
        <v>142</v>
      </c>
      <c r="J50" s="17" t="e">
        <f>Tableau2[[#This Row],[Durée totale]]/Tableau2[[#This Row],[Distance totale (km)]]</f>
        <v>#DIV/0!</v>
      </c>
      <c r="O50" s="15">
        <f>Tableau2[[#This Row],[Durée totale]]*Tableau2[[#This Row],[RPE]]</f>
        <v>0</v>
      </c>
    </row>
    <row r="51" spans="2:15" x14ac:dyDescent="0.3">
      <c r="B51" s="15">
        <v>15</v>
      </c>
      <c r="C51" s="15" t="s">
        <v>66</v>
      </c>
      <c r="D51" s="15" t="s">
        <v>78</v>
      </c>
      <c r="G51" s="16" t="s">
        <v>143</v>
      </c>
      <c r="J51" s="17" t="e">
        <f>Tableau2[[#This Row],[Durée totale]]/Tableau2[[#This Row],[Distance totale (km)]]</f>
        <v>#DIV/0!</v>
      </c>
      <c r="O51" s="15">
        <f>Tableau2[[#This Row],[Durée totale]]*Tableau2[[#This Row],[RPE]]</f>
        <v>0</v>
      </c>
    </row>
    <row r="52" spans="2:15" ht="126" x14ac:dyDescent="0.3">
      <c r="B52" s="15">
        <v>15</v>
      </c>
      <c r="C52" s="15" t="s">
        <v>67</v>
      </c>
      <c r="D52" s="15" t="s">
        <v>78</v>
      </c>
      <c r="G52" s="16" t="s">
        <v>144</v>
      </c>
      <c r="J52" s="17" t="e">
        <f>Tableau2[[#This Row],[Durée totale]]/Tableau2[[#This Row],[Distance totale (km)]]</f>
        <v>#DIV/0!</v>
      </c>
      <c r="O52" s="15">
        <f>Tableau2[[#This Row],[Durée totale]]*Tableau2[[#This Row],[RPE]]</f>
        <v>0</v>
      </c>
    </row>
    <row r="53" spans="2:15" ht="105" x14ac:dyDescent="0.3">
      <c r="B53" s="15">
        <v>15</v>
      </c>
      <c r="C53" s="15" t="s">
        <v>73</v>
      </c>
      <c r="D53" s="15" t="s">
        <v>78</v>
      </c>
      <c r="G53" s="16" t="s">
        <v>145</v>
      </c>
      <c r="J53" s="17" t="e">
        <f>Tableau2[[#This Row],[Durée totale]]/Tableau2[[#This Row],[Distance totale (km)]]</f>
        <v>#DIV/0!</v>
      </c>
      <c r="O53" s="15">
        <f>Tableau2[[#This Row],[Durée totale]]*Tableau2[[#This Row],[RPE]]</f>
        <v>0</v>
      </c>
    </row>
    <row r="54" spans="2:15" ht="286.2" customHeight="1" x14ac:dyDescent="0.3">
      <c r="B54" s="15">
        <v>15</v>
      </c>
      <c r="C54" s="15" t="s">
        <v>81</v>
      </c>
      <c r="D54" s="15" t="s">
        <v>61</v>
      </c>
      <c r="G54" s="16" t="s">
        <v>149</v>
      </c>
      <c r="J54" s="17" t="e">
        <f>Tableau2[[#This Row],[Durée totale]]/Tableau2[[#This Row],[Distance totale (km)]]</f>
        <v>#DIV/0!</v>
      </c>
      <c r="O54" s="15">
        <f>Tableau2[[#This Row],[Durée totale]]*Tableau2[[#This Row],[RPE]]</f>
        <v>0</v>
      </c>
    </row>
    <row r="55" spans="2:15" x14ac:dyDescent="0.3">
      <c r="B55" s="15">
        <v>16</v>
      </c>
      <c r="C55" s="15" t="s">
        <v>66</v>
      </c>
      <c r="D55" s="15" t="s">
        <v>78</v>
      </c>
      <c r="G55" s="16" t="s">
        <v>146</v>
      </c>
      <c r="J55" s="17" t="e">
        <f>Tableau2[[#This Row],[Durée totale]]/Tableau2[[#This Row],[Distance totale (km)]]</f>
        <v>#DIV/0!</v>
      </c>
      <c r="O55" s="15">
        <f>Tableau2[[#This Row],[Durée totale]]*Tableau2[[#This Row],[RPE]]</f>
        <v>0</v>
      </c>
    </row>
    <row r="56" spans="2:15" ht="147" x14ac:dyDescent="0.3">
      <c r="B56" s="15">
        <v>16</v>
      </c>
      <c r="C56" s="15" t="s">
        <v>67</v>
      </c>
      <c r="D56" s="15" t="s">
        <v>78</v>
      </c>
      <c r="G56" s="16" t="s">
        <v>147</v>
      </c>
      <c r="J56" s="17" t="e">
        <f>Tableau2[[#This Row],[Durée totale]]/Tableau2[[#This Row],[Distance totale (km)]]</f>
        <v>#DIV/0!</v>
      </c>
      <c r="O56" s="15">
        <f>Tableau2[[#This Row],[Durée totale]]*Tableau2[[#This Row],[RPE]]</f>
        <v>0</v>
      </c>
    </row>
    <row r="57" spans="2:15" ht="42" x14ac:dyDescent="0.3">
      <c r="B57" s="15">
        <v>16</v>
      </c>
      <c r="C57" s="15" t="s">
        <v>73</v>
      </c>
      <c r="D57" s="15" t="s">
        <v>78</v>
      </c>
      <c r="G57" s="16" t="s">
        <v>148</v>
      </c>
      <c r="J57" s="17" t="e">
        <f>Tableau2[[#This Row],[Durée totale]]/Tableau2[[#This Row],[Distance totale (km)]]</f>
        <v>#DIV/0!</v>
      </c>
      <c r="O57" s="15">
        <f>Tableau2[[#This Row],[Durée totale]]*Tableau2[[#This Row],[RPE]]</f>
        <v>0</v>
      </c>
    </row>
    <row r="58" spans="2:15" ht="267.60000000000002" customHeight="1" x14ac:dyDescent="0.3">
      <c r="B58" s="15">
        <v>16</v>
      </c>
      <c r="C58" s="15" t="s">
        <v>81</v>
      </c>
      <c r="D58" s="15" t="s">
        <v>61</v>
      </c>
      <c r="G58" s="16" t="s">
        <v>150</v>
      </c>
      <c r="J58" s="17" t="e">
        <f>Tableau2[[#This Row],[Durée totale]]/Tableau2[[#This Row],[Distance totale (km)]]</f>
        <v>#DIV/0!</v>
      </c>
      <c r="O58" s="15">
        <f>Tableau2[[#This Row],[Durée totale]]*Tableau2[[#This Row],[RPE]]</f>
        <v>0</v>
      </c>
    </row>
    <row r="59" spans="2:15" ht="63" x14ac:dyDescent="0.3">
      <c r="B59" s="15">
        <v>17</v>
      </c>
      <c r="C59" s="15" t="s">
        <v>66</v>
      </c>
      <c r="D59" s="15" t="s">
        <v>78</v>
      </c>
      <c r="G59" s="16" t="s">
        <v>151</v>
      </c>
      <c r="J59" s="17" t="e">
        <f>Tableau2[[#This Row],[Durée totale]]/Tableau2[[#This Row],[Distance totale (km)]]</f>
        <v>#DIV/0!</v>
      </c>
      <c r="O59" s="15">
        <f>Tableau2[[#This Row],[Durée totale]]*Tableau2[[#This Row],[RPE]]</f>
        <v>0</v>
      </c>
    </row>
    <row r="60" spans="2:15" ht="126" x14ac:dyDescent="0.3">
      <c r="B60" s="15">
        <v>17</v>
      </c>
      <c r="C60" s="15" t="s">
        <v>67</v>
      </c>
      <c r="D60" s="15" t="s">
        <v>78</v>
      </c>
      <c r="G60" s="16" t="s">
        <v>152</v>
      </c>
      <c r="J60" s="17" t="e">
        <f>Tableau2[[#This Row],[Durée totale]]/Tableau2[[#This Row],[Distance totale (km)]]</f>
        <v>#DIV/0!</v>
      </c>
      <c r="O60" s="15">
        <f>Tableau2[[#This Row],[Durée totale]]*Tableau2[[#This Row],[RPE]]</f>
        <v>0</v>
      </c>
    </row>
    <row r="61" spans="2:15" ht="84" x14ac:dyDescent="0.3">
      <c r="B61" s="15">
        <v>17</v>
      </c>
      <c r="C61" s="15" t="s">
        <v>73</v>
      </c>
      <c r="D61" s="15" t="s">
        <v>78</v>
      </c>
      <c r="G61" s="16" t="s">
        <v>153</v>
      </c>
      <c r="J61" s="17" t="e">
        <f>Tableau2[[#This Row],[Durée totale]]/Tableau2[[#This Row],[Distance totale (km)]]</f>
        <v>#DIV/0!</v>
      </c>
      <c r="O61" s="15">
        <f>Tableau2[[#This Row],[Durée totale]]*Tableau2[[#This Row],[RPE]]</f>
        <v>0</v>
      </c>
    </row>
    <row r="62" spans="2:15" ht="252" x14ac:dyDescent="0.3">
      <c r="B62" s="15">
        <v>17</v>
      </c>
      <c r="C62" s="15" t="s">
        <v>81</v>
      </c>
      <c r="D62" s="15" t="s">
        <v>61</v>
      </c>
      <c r="G62" s="16" t="s">
        <v>154</v>
      </c>
      <c r="J62" s="17" t="e">
        <f>Tableau2[[#This Row],[Durée totale]]/Tableau2[[#This Row],[Distance totale (km)]]</f>
        <v>#DIV/0!</v>
      </c>
      <c r="O62" s="15">
        <f>Tableau2[[#This Row],[Durée totale]]*Tableau2[[#This Row],[RPE]]</f>
        <v>0</v>
      </c>
    </row>
    <row r="63" spans="2:15" ht="42" x14ac:dyDescent="0.3">
      <c r="B63" s="15">
        <v>18</v>
      </c>
      <c r="C63" s="15" t="s">
        <v>66</v>
      </c>
      <c r="D63" s="15" t="s">
        <v>78</v>
      </c>
      <c r="G63" s="16" t="s">
        <v>155</v>
      </c>
      <c r="J63" s="17" t="e">
        <f>Tableau2[[#This Row],[Durée totale]]/Tableau2[[#This Row],[Distance totale (km)]]</f>
        <v>#DIV/0!</v>
      </c>
      <c r="O63" s="15">
        <f>Tableau2[[#This Row],[Durée totale]]*Tableau2[[#This Row],[RPE]]</f>
        <v>0</v>
      </c>
    </row>
    <row r="64" spans="2:15" ht="84" x14ac:dyDescent="0.3">
      <c r="B64" s="15">
        <v>18</v>
      </c>
      <c r="C64" s="15" t="s">
        <v>67</v>
      </c>
      <c r="D64" s="15" t="s">
        <v>78</v>
      </c>
      <c r="G64" s="16" t="s">
        <v>156</v>
      </c>
      <c r="J64" s="17" t="e">
        <f>Tableau2[[#This Row],[Durée totale]]/Tableau2[[#This Row],[Distance totale (km)]]</f>
        <v>#DIV/0!</v>
      </c>
      <c r="O64" s="15">
        <f>Tableau2[[#This Row],[Durée totale]]*Tableau2[[#This Row],[RPE]]</f>
        <v>0</v>
      </c>
    </row>
    <row r="65" spans="2:15" ht="42" x14ac:dyDescent="0.3">
      <c r="B65" s="15">
        <v>18</v>
      </c>
      <c r="C65" s="15" t="s">
        <v>73</v>
      </c>
      <c r="D65" s="15" t="s">
        <v>78</v>
      </c>
      <c r="G65" s="16" t="s">
        <v>157</v>
      </c>
      <c r="J65" s="17" t="e">
        <f>Tableau2[[#This Row],[Durée totale]]/Tableau2[[#This Row],[Distance totale (km)]]</f>
        <v>#DIV/0!</v>
      </c>
      <c r="O65" s="15">
        <f>Tableau2[[#This Row],[Durée totale]]*Tableau2[[#This Row],[RPE]]</f>
        <v>0</v>
      </c>
    </row>
    <row r="66" spans="2:15" ht="189" x14ac:dyDescent="0.3">
      <c r="B66" s="15">
        <v>18</v>
      </c>
      <c r="C66" s="15" t="s">
        <v>81</v>
      </c>
      <c r="D66" s="15" t="s">
        <v>61</v>
      </c>
      <c r="G66" s="16" t="s">
        <v>158</v>
      </c>
      <c r="J66" s="17" t="e">
        <f>Tableau2[[#This Row],[Durée totale]]/Tableau2[[#This Row],[Distance totale (km)]]</f>
        <v>#DIV/0!</v>
      </c>
      <c r="O66" s="15">
        <f>Tableau2[[#This Row],[Durée totale]]*Tableau2[[#This Row],[RPE]]</f>
        <v>0</v>
      </c>
    </row>
    <row r="67" spans="2:15" ht="84" x14ac:dyDescent="0.3">
      <c r="B67" s="15">
        <v>19</v>
      </c>
      <c r="C67" s="15" t="s">
        <v>66</v>
      </c>
      <c r="D67" s="15" t="s">
        <v>78</v>
      </c>
      <c r="G67" s="16" t="s">
        <v>159</v>
      </c>
      <c r="J67" s="17" t="e">
        <f>Tableau2[[#This Row],[Durée totale]]/Tableau2[[#This Row],[Distance totale (km)]]</f>
        <v>#DIV/0!</v>
      </c>
      <c r="O67" s="15">
        <f>Tableau2[[#This Row],[Durée totale]]*Tableau2[[#This Row],[RPE]]</f>
        <v>0</v>
      </c>
    </row>
    <row r="68" spans="2:15" ht="42" x14ac:dyDescent="0.3">
      <c r="B68" s="15">
        <v>19</v>
      </c>
      <c r="C68" s="15" t="s">
        <v>67</v>
      </c>
      <c r="D68" s="15" t="s">
        <v>78</v>
      </c>
      <c r="G68" s="16" t="s">
        <v>160</v>
      </c>
      <c r="J68" s="17" t="e">
        <f>Tableau2[[#This Row],[Durée totale]]/Tableau2[[#This Row],[Distance totale (km)]]</f>
        <v>#DIV/0!</v>
      </c>
      <c r="O68" s="15">
        <f>Tableau2[[#This Row],[Durée totale]]*Tableau2[[#This Row],[RPE]]</f>
        <v>0</v>
      </c>
    </row>
    <row r="69" spans="2:15" ht="189" x14ac:dyDescent="0.3">
      <c r="B69" s="15">
        <v>19</v>
      </c>
      <c r="C69" s="15" t="s">
        <v>73</v>
      </c>
      <c r="D69" s="15" t="s">
        <v>61</v>
      </c>
      <c r="G69" s="16" t="s">
        <v>161</v>
      </c>
      <c r="J69" s="17" t="e">
        <f>Tableau2[[#This Row],[Durée totale]]/Tableau2[[#This Row],[Distance totale (km)]]</f>
        <v>#DIV/0!</v>
      </c>
      <c r="O69" s="15">
        <f>Tableau2[[#This Row],[Durée totale]]*Tableau2[[#This Row],[RPE]]</f>
        <v>0</v>
      </c>
    </row>
    <row r="70" spans="2:15" ht="42" x14ac:dyDescent="0.3">
      <c r="B70" s="15">
        <v>20</v>
      </c>
      <c r="C70" s="15" t="s">
        <v>66</v>
      </c>
      <c r="D70" s="15" t="s">
        <v>78</v>
      </c>
      <c r="G70" s="16" t="s">
        <v>162</v>
      </c>
      <c r="J70" s="17" t="e">
        <f>Tableau2[[#This Row],[Durée totale]]/Tableau2[[#This Row],[Distance totale (km)]]</f>
        <v>#DIV/0!</v>
      </c>
      <c r="O70" s="15">
        <f>Tableau2[[#This Row],[Durée totale]]*Tableau2[[#This Row],[RPE]]</f>
        <v>0</v>
      </c>
    </row>
    <row r="71" spans="2:15" ht="63" x14ac:dyDescent="0.3">
      <c r="B71" s="15">
        <v>20</v>
      </c>
      <c r="C71" s="15" t="s">
        <v>67</v>
      </c>
      <c r="D71" s="15" t="s">
        <v>78</v>
      </c>
      <c r="G71" s="16" t="s">
        <v>163</v>
      </c>
      <c r="J71" s="17" t="e">
        <f>Tableau2[[#This Row],[Durée totale]]/Tableau2[[#This Row],[Distance totale (km)]]</f>
        <v>#DIV/0!</v>
      </c>
      <c r="O71" s="15">
        <f>Tableau2[[#This Row],[Durée totale]]*Tableau2[[#This Row],[RPE]]</f>
        <v>0</v>
      </c>
    </row>
    <row r="72" spans="2:15" x14ac:dyDescent="0.3">
      <c r="B72" s="15">
        <v>20</v>
      </c>
      <c r="C72" s="15" t="s">
        <v>73</v>
      </c>
      <c r="D72" s="15" t="s">
        <v>78</v>
      </c>
      <c r="G72" s="16" t="s">
        <v>164</v>
      </c>
      <c r="J72" s="17" t="e">
        <f>Tableau2[[#This Row],[Durée totale]]/Tableau2[[#This Row],[Distance totale (km)]]</f>
        <v>#DIV/0!</v>
      </c>
      <c r="O72" s="15">
        <f>Tableau2[[#This Row],[Durée totale]]*Tableau2[[#This Row],[RPE]]</f>
        <v>0</v>
      </c>
    </row>
    <row r="73" spans="2:15" ht="168" x14ac:dyDescent="0.3">
      <c r="B73" s="15">
        <v>20</v>
      </c>
      <c r="C73" s="15" t="s">
        <v>81</v>
      </c>
      <c r="D73" s="15" t="s">
        <v>61</v>
      </c>
      <c r="G73" s="16" t="s">
        <v>165</v>
      </c>
      <c r="J73" s="17" t="e">
        <f>Tableau2[[#This Row],[Durée totale]]/Tableau2[[#This Row],[Distance totale (km)]]</f>
        <v>#DIV/0!</v>
      </c>
      <c r="O73" s="15">
        <f>Tableau2[[#This Row],[Durée totale]]*Tableau2[[#This Row],[RPE]]</f>
        <v>0</v>
      </c>
    </row>
    <row r="74" spans="2:15" ht="42" x14ac:dyDescent="0.3">
      <c r="B74" s="15">
        <v>21</v>
      </c>
      <c r="C74" s="15" t="s">
        <v>66</v>
      </c>
      <c r="D74" s="15" t="s">
        <v>78</v>
      </c>
      <c r="G74" s="16" t="s">
        <v>166</v>
      </c>
      <c r="J74" s="17" t="e">
        <f>Tableau2[[#This Row],[Durée totale]]/Tableau2[[#This Row],[Distance totale (km)]]</f>
        <v>#DIV/0!</v>
      </c>
      <c r="O74" s="15">
        <f>Tableau2[[#This Row],[Durée totale]]*Tableau2[[#This Row],[RPE]]</f>
        <v>0</v>
      </c>
    </row>
    <row r="75" spans="2:15" x14ac:dyDescent="0.3">
      <c r="B75" s="15">
        <v>21</v>
      </c>
      <c r="C75" s="15" t="s">
        <v>67</v>
      </c>
      <c r="D75" s="15" t="s">
        <v>18</v>
      </c>
      <c r="G75" s="16" t="s">
        <v>167</v>
      </c>
      <c r="J75" s="17" t="e">
        <f>Tableau2[[#This Row],[Durée totale]]/Tableau2[[#This Row],[Distance totale (km)]]</f>
        <v>#DIV/0!</v>
      </c>
      <c r="O75" s="15">
        <f>Tableau2[[#This Row],[Durée totale]]*Tableau2[[#This Row],[RPE]]</f>
        <v>0</v>
      </c>
    </row>
    <row r="76" spans="2:15" ht="105" x14ac:dyDescent="0.3">
      <c r="B76" s="15">
        <v>22</v>
      </c>
      <c r="C76" s="15" t="s">
        <v>66</v>
      </c>
      <c r="D76" s="15" t="s">
        <v>78</v>
      </c>
      <c r="G76" s="16" t="s">
        <v>168</v>
      </c>
      <c r="J76" s="17" t="e">
        <f>Tableau2[[#This Row],[Durée totale]]/Tableau2[[#This Row],[Distance totale (km)]]</f>
        <v>#DIV/0!</v>
      </c>
      <c r="O76" s="15">
        <f>Tableau2[[#This Row],[Durée totale]]*Tableau2[[#This Row],[RPE]]</f>
        <v>0</v>
      </c>
    </row>
    <row r="77" spans="2:15" ht="84" x14ac:dyDescent="0.3">
      <c r="B77" s="15">
        <v>22</v>
      </c>
      <c r="C77" s="15" t="s">
        <v>67</v>
      </c>
      <c r="G77" s="16" t="s">
        <v>169</v>
      </c>
      <c r="J77" s="17" t="e">
        <f>Tableau2[[#This Row],[Durée totale]]/Tableau2[[#This Row],[Distance totale (km)]]</f>
        <v>#DIV/0!</v>
      </c>
      <c r="O77" s="15">
        <f>Tableau2[[#This Row],[Durée totale]]*Tableau2[[#This Row],[RPE]]</f>
        <v>0</v>
      </c>
    </row>
    <row r="78" spans="2:15" ht="42" x14ac:dyDescent="0.3">
      <c r="B78" s="15">
        <v>22</v>
      </c>
      <c r="C78" s="15" t="s">
        <v>73</v>
      </c>
      <c r="G78" s="16" t="s">
        <v>170</v>
      </c>
      <c r="J78" s="17" t="e">
        <f>Tableau2[[#This Row],[Durée totale]]/Tableau2[[#This Row],[Distance totale (km)]]</f>
        <v>#DIV/0!</v>
      </c>
      <c r="O78" s="15">
        <f>Tableau2[[#This Row],[Durée totale]]*Tableau2[[#This Row],[RPE]]</f>
        <v>0</v>
      </c>
    </row>
    <row r="79" spans="2:15" x14ac:dyDescent="0.3">
      <c r="B79" s="15">
        <v>22</v>
      </c>
      <c r="C79" s="15" t="s">
        <v>81</v>
      </c>
      <c r="J79" s="17" t="e">
        <f>Tableau2[[#This Row],[Durée totale]]/Tableau2[[#This Row],[Distance totale (km)]]</f>
        <v>#DIV/0!</v>
      </c>
      <c r="O79" s="15">
        <f>Tableau2[[#This Row],[Durée totale]]*Tableau2[[#This Row],[RPE]]</f>
        <v>0</v>
      </c>
    </row>
    <row r="80" spans="2:15" ht="168" x14ac:dyDescent="0.3">
      <c r="B80" s="15">
        <v>23</v>
      </c>
      <c r="C80" s="15" t="s">
        <v>66</v>
      </c>
      <c r="D80" s="15" t="s">
        <v>61</v>
      </c>
      <c r="G80" s="16" t="s">
        <v>173</v>
      </c>
      <c r="J80" s="17" t="e">
        <f>Tableau2[[#This Row],[Durée totale]]/Tableau2[[#This Row],[Distance totale (km)]]</f>
        <v>#DIV/0!</v>
      </c>
      <c r="O80" s="15">
        <f>Tableau2[[#This Row],[Durée totale]]*Tableau2[[#This Row],[RPE]]</f>
        <v>0</v>
      </c>
    </row>
    <row r="81" spans="2:15" ht="126" x14ac:dyDescent="0.3">
      <c r="B81" s="15">
        <v>23</v>
      </c>
      <c r="C81" s="15" t="s">
        <v>67</v>
      </c>
      <c r="D81" s="15" t="s">
        <v>171</v>
      </c>
      <c r="G81" s="16" t="s">
        <v>174</v>
      </c>
      <c r="J81" s="17" t="e">
        <f>Tableau2[[#This Row],[Durée totale]]/Tableau2[[#This Row],[Distance totale (km)]]</f>
        <v>#DIV/0!</v>
      </c>
      <c r="O81" s="15">
        <f>Tableau2[[#This Row],[Durée totale]]*Tableau2[[#This Row],[RPE]]</f>
        <v>0</v>
      </c>
    </row>
    <row r="82" spans="2:15" ht="42" x14ac:dyDescent="0.3">
      <c r="B82" s="15">
        <v>23</v>
      </c>
      <c r="C82" s="15" t="s">
        <v>172</v>
      </c>
      <c r="D82" s="15" t="s">
        <v>78</v>
      </c>
      <c r="G82" s="16" t="s">
        <v>175</v>
      </c>
      <c r="J82" s="17" t="e">
        <f>Tableau2[[#This Row],[Durée totale]]/Tableau2[[#This Row],[Distance totale (km)]]</f>
        <v>#DIV/0!</v>
      </c>
      <c r="O82" s="15">
        <f>Tableau2[[#This Row],[Durée totale]]*Tableau2[[#This Row],[RPE]]</f>
        <v>0</v>
      </c>
    </row>
    <row r="83" spans="2:15" ht="126" x14ac:dyDescent="0.3">
      <c r="B83" s="15">
        <v>24</v>
      </c>
      <c r="C83" s="15" t="s">
        <v>176</v>
      </c>
      <c r="D83" s="15" t="s">
        <v>171</v>
      </c>
      <c r="G83" s="16" t="s">
        <v>177</v>
      </c>
      <c r="J83" s="17" t="e">
        <f>Tableau2[[#This Row],[Durée totale]]/Tableau2[[#This Row],[Distance totale (km)]]</f>
        <v>#DIV/0!</v>
      </c>
      <c r="O83" s="15">
        <f>Tableau2[[#This Row],[Durée totale]]*Tableau2[[#This Row],[RPE]]</f>
        <v>0</v>
      </c>
    </row>
    <row r="84" spans="2:15" ht="84" x14ac:dyDescent="0.3">
      <c r="B84" s="15">
        <v>24</v>
      </c>
      <c r="C84" s="15" t="s">
        <v>67</v>
      </c>
      <c r="D84" s="15" t="s">
        <v>78</v>
      </c>
      <c r="G84" s="16" t="s">
        <v>178</v>
      </c>
      <c r="J84" s="17" t="e">
        <f>Tableau2[[#This Row],[Durée totale]]/Tableau2[[#This Row],[Distance totale (km)]]</f>
        <v>#DIV/0!</v>
      </c>
      <c r="O84" s="15">
        <f>Tableau2[[#This Row],[Durée totale]]*Tableau2[[#This Row],[RPE]]</f>
        <v>0</v>
      </c>
    </row>
    <row r="85" spans="2:15" x14ac:dyDescent="0.3">
      <c r="B85" s="15">
        <v>24</v>
      </c>
      <c r="C85" s="15" t="s">
        <v>73</v>
      </c>
      <c r="D85" s="15" t="s">
        <v>78</v>
      </c>
      <c r="G85" s="16" t="s">
        <v>179</v>
      </c>
      <c r="J85" s="17" t="e">
        <f>Tableau2[[#This Row],[Durée totale]]/Tableau2[[#This Row],[Distance totale (km)]]</f>
        <v>#DIV/0!</v>
      </c>
      <c r="O85" s="15">
        <f>Tableau2[[#This Row],[Durée totale]]*Tableau2[[#This Row],[RPE]]</f>
        <v>0</v>
      </c>
    </row>
    <row r="86" spans="2:15" ht="126" x14ac:dyDescent="0.3">
      <c r="B86" s="15">
        <v>25</v>
      </c>
      <c r="C86" s="15" t="s">
        <v>66</v>
      </c>
      <c r="D86" s="15" t="s">
        <v>78</v>
      </c>
      <c r="G86" s="16" t="s">
        <v>180</v>
      </c>
      <c r="J86" s="17" t="e">
        <f>Tableau2[[#This Row],[Durée totale]]/Tableau2[[#This Row],[Distance totale (km)]]</f>
        <v>#DIV/0!</v>
      </c>
      <c r="O86" s="15">
        <f>Tableau2[[#This Row],[Durée totale]]*Tableau2[[#This Row],[RPE]]</f>
        <v>0</v>
      </c>
    </row>
    <row r="87" spans="2:15" ht="105" x14ac:dyDescent="0.3">
      <c r="B87" s="15">
        <v>25</v>
      </c>
      <c r="C87" s="15" t="s">
        <v>67</v>
      </c>
      <c r="D87" s="15" t="s">
        <v>78</v>
      </c>
      <c r="G87" s="16" t="s">
        <v>181</v>
      </c>
      <c r="J87" s="17" t="e">
        <f>Tableau2[[#This Row],[Durée totale]]/Tableau2[[#This Row],[Distance totale (km)]]</f>
        <v>#DIV/0!</v>
      </c>
      <c r="O87" s="15">
        <f>Tableau2[[#This Row],[Durée totale]]*Tableau2[[#This Row],[RPE]]</f>
        <v>0</v>
      </c>
    </row>
    <row r="88" spans="2:15" ht="294" x14ac:dyDescent="0.3">
      <c r="B88" s="15">
        <v>25</v>
      </c>
      <c r="C88" s="15" t="s">
        <v>73</v>
      </c>
      <c r="D88" s="15" t="s">
        <v>61</v>
      </c>
      <c r="G88" s="16" t="s">
        <v>182</v>
      </c>
      <c r="J88" s="17" t="e">
        <f>Tableau2[[#This Row],[Durée totale]]/Tableau2[[#This Row],[Distance totale (km)]]</f>
        <v>#DIV/0!</v>
      </c>
      <c r="O88" s="15">
        <f>Tableau2[[#This Row],[Durée totale]]*Tableau2[[#This Row],[RPE]]</f>
        <v>0</v>
      </c>
    </row>
    <row r="89" spans="2:15" ht="105" x14ac:dyDescent="0.3">
      <c r="B89" s="15">
        <v>26</v>
      </c>
      <c r="C89" s="15" t="s">
        <v>66</v>
      </c>
      <c r="D89" s="15" t="s">
        <v>78</v>
      </c>
      <c r="G89" s="16" t="s">
        <v>183</v>
      </c>
      <c r="J89" s="17" t="e">
        <f>Tableau2[[#This Row],[Durée totale]]/Tableau2[[#This Row],[Distance totale (km)]]</f>
        <v>#DIV/0!</v>
      </c>
      <c r="O89" s="15">
        <f>Tableau2[[#This Row],[Durée totale]]*Tableau2[[#This Row],[RPE]]</f>
        <v>0</v>
      </c>
    </row>
    <row r="90" spans="2:15" ht="105" x14ac:dyDescent="0.3">
      <c r="B90" s="15">
        <v>26</v>
      </c>
      <c r="C90" s="15" t="s">
        <v>67</v>
      </c>
      <c r="D90" s="15" t="s">
        <v>78</v>
      </c>
      <c r="G90" s="16" t="s">
        <v>184</v>
      </c>
      <c r="J90" s="17" t="e">
        <f>Tableau2[[#This Row],[Durée totale]]/Tableau2[[#This Row],[Distance totale (km)]]</f>
        <v>#DIV/0!</v>
      </c>
      <c r="O90" s="15">
        <f>Tableau2[[#This Row],[Durée totale]]*Tableau2[[#This Row],[RPE]]</f>
        <v>0</v>
      </c>
    </row>
  </sheetData>
  <phoneticPr fontId="2" type="noConversion"/>
  <pageMargins left="0.7" right="0.7" top="0.75" bottom="0.75" header="0.3" footer="0.3"/>
  <ignoredErrors>
    <ignoredError sqref="J3 J5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1D345F-E040-4F21-98E9-CBB3E4F74A79}">
          <x14:formula1>
            <xm:f>Feuil2!$B$2:$B$8</xm:f>
          </x14:formula1>
          <xm:sqref>E2:E90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456A-DFD2-4924-8F83-817F749A436C}">
  <dimension ref="B1:B8"/>
  <sheetViews>
    <sheetView topLeftCell="A4" workbookViewId="0">
      <selection activeCell="B6" sqref="B6"/>
    </sheetView>
  </sheetViews>
  <sheetFormatPr baseColWidth="10" defaultRowHeight="14.4" x14ac:dyDescent="0.3"/>
  <cols>
    <col min="1" max="1" width="11.5546875" style="14"/>
    <col min="2" max="2" width="33.21875" style="14" customWidth="1"/>
    <col min="3" max="16384" width="11.5546875" style="14"/>
  </cols>
  <sheetData>
    <row r="1" spans="2:2" x14ac:dyDescent="0.3">
      <c r="B1" s="14" t="s">
        <v>74</v>
      </c>
    </row>
    <row r="2" spans="2:2" x14ac:dyDescent="0.3">
      <c r="B2" s="14" t="s">
        <v>27</v>
      </c>
    </row>
    <row r="3" spans="2:2" x14ac:dyDescent="0.3">
      <c r="B3" s="14" t="s">
        <v>28</v>
      </c>
    </row>
    <row r="4" spans="2:2" x14ac:dyDescent="0.3">
      <c r="B4" s="14" t="s">
        <v>75</v>
      </c>
    </row>
    <row r="5" spans="2:2" x14ac:dyDescent="0.3">
      <c r="B5" s="14" t="s">
        <v>35</v>
      </c>
    </row>
    <row r="6" spans="2:2" x14ac:dyDescent="0.3">
      <c r="B6" s="14" t="s">
        <v>36</v>
      </c>
    </row>
    <row r="7" spans="2:2" x14ac:dyDescent="0.3">
      <c r="B7" s="14" t="s">
        <v>37</v>
      </c>
    </row>
    <row r="8" spans="2:2" x14ac:dyDescent="0.3">
      <c r="B8" s="14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Plannification générale</vt:lpstr>
      <vt:lpstr>Séances par semaine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eymerick gryseleyn</dc:creator>
  <cp:lastModifiedBy>eymerick gryseleyn</cp:lastModifiedBy>
  <cp:lastPrinted>2025-11-26T12:21:51Z</cp:lastPrinted>
  <dcterms:created xsi:type="dcterms:W3CDTF">2015-06-05T18:19:34Z</dcterms:created>
  <dcterms:modified xsi:type="dcterms:W3CDTF">2026-06-10T19:05:04Z</dcterms:modified>
</cp:coreProperties>
</file>